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tecture" sheetId="1" r:id="rId4"/>
  </sheets>
  <definedNames/>
  <calcPr/>
</workbook>
</file>

<file path=xl/sharedStrings.xml><?xml version="1.0" encoding="utf-8"?>
<sst xmlns="http://schemas.openxmlformats.org/spreadsheetml/2006/main" count="186" uniqueCount="133">
  <si>
    <t>Vocabulary</t>
  </si>
  <si>
    <t>Token Embeddings</t>
  </si>
  <si>
    <t>Sample Input</t>
  </si>
  <si>
    <t>Position Embeddings</t>
  </si>
  <si>
    <t>Input to Model</t>
  </si>
  <si>
    <t>Single decoder layer — Multi-Head Masked Self-Attention</t>
  </si>
  <si>
    <t>Residual connection + LayerNorm (after attention sub-layer)</t>
  </si>
  <si>
    <t>Position-wise Feed-Forward Network (FFN)</t>
  </si>
  <si>
    <t>FFN residual + LayerNorm</t>
  </si>
  <si>
    <t>Final linear to vocabulary + softmax (prediction)</t>
  </si>
  <si>
    <t>V=28</t>
  </si>
  <si>
    <t>Let's assume that each embedding has length of 4. (d=4)</t>
  </si>
  <si>
    <t>Let's assume that we train on sample input length of 10 tokens.</t>
  </si>
  <si>
    <t>For each position, a position embedding is defined.</t>
  </si>
  <si>
    <t>The looked up token embedding + position embedding is input to the model.</t>
  </si>
  <si>
    <t>Multi-head attention (with h=2) uses learned projections:</t>
  </si>
  <si>
    <t>Residual: Y = LayerNorm( S + att_out )</t>
  </si>
  <si>
    <t>FFN is applied independently at each position:</t>
  </si>
  <si>
    <t>FFN residual + LayerNorm (use another gamma2,beta2):</t>
  </si>
  <si>
    <t>Final logits (per-position) are computed by a linear projection logits = res4 · W_out + b_out</t>
  </si>
  <si>
    <t>E ∈ ℝ^{V×d}</t>
  </si>
  <si>
    <t>E ∈ ℝ^{28×4}</t>
  </si>
  <si>
    <t>L=10</t>
  </si>
  <si>
    <t>X ∈ ℝ^{L×d}</t>
  </si>
  <si>
    <t>E ∈ ℝ^{10×4}</t>
  </si>
  <si>
    <t>P ∈ ℝ^{L×d}</t>
  </si>
  <si>
    <t>P ∈ ℝ^{10×4}</t>
  </si>
  <si>
    <t>S = X+P</t>
  </si>
  <si>
    <t>S ∈ ℝ^{10×4}</t>
  </si>
  <si>
    <t>For head i we have WQ_i, WK_i, WV_i ∈ ℝ^{d×dk} (4×2) and a final W_O ∈ ℝ^{(h·dv)×d} (4×4).</t>
  </si>
  <si>
    <t>A residual connection is made.</t>
  </si>
  <si>
    <t>W1 ∈ ℝ^{d×dff} (4×8), W2 ∈ ℝ^{dff×d} (8×4).</t>
  </si>
  <si>
    <t>res2 = LayerNorm( res1 + ffn1_out )  shape (5×4)</t>
  </si>
  <si>
    <t>dk = d/h = 4/2 = 2</t>
  </si>
  <si>
    <t>Token</t>
  </si>
  <si>
    <t>Token ID</t>
  </si>
  <si>
    <t>Token Embeddings (E)</t>
  </si>
  <si>
    <t>Token Embeddings Looked Up (X)</t>
  </si>
  <si>
    <t>Position</t>
  </si>
  <si>
    <t>Position Embedding (P)</t>
  </si>
  <si>
    <t>Input Embedding (S)</t>
  </si>
  <si>
    <t>Y = S + att_out</t>
  </si>
  <si>
    <t>Y ∈ ℝ^{L×d}</t>
  </si>
  <si>
    <t>Y ∈ ℝ^{10×4}</t>
  </si>
  <si>
    <t>W1 ∈ ℝ^{d×dff} (4×8)</t>
  </si>
  <si>
    <t>ffn1_inter (10×8) ≈ res1 x W1</t>
  </si>
  <si>
    <t>res1 + ffn1_out (10x4)</t>
  </si>
  <si>
    <t>W_out ∈ ℝ^{d×V}</t>
  </si>
  <si>
    <t>W_out ∈ ℝ^{4×28}</t>
  </si>
  <si>
    <t>one</t>
  </si>
  <si>
    <t>Head 1 : Query Key Value Matrices</t>
  </si>
  <si>
    <t>Head 1 : Scaled dot product</t>
  </si>
  <si>
    <t>Head 1 : Add the causal mask (so entries j&gt;i are heavily negative) + Row-wise softmax</t>
  </si>
  <si>
    <t>Concatenate heads (head1 ∥ head2) → concat shape (10×4). Then final projection:</t>
  </si>
  <si>
    <t>two</t>
  </si>
  <si>
    <t>hundred</t>
  </si>
  <si>
    <t>WQ1 ∈ ℝ^{d×dk} ∈ ℝ^{4×2}</t>
  </si>
  <si>
    <t>Q1 = S @ WQ1 (10x2)</t>
  </si>
  <si>
    <t>Score for Head 1 = Q.K Transposed / sqrt(dk)</t>
  </si>
  <si>
    <t>We use a causal (autoregressive) mask M ∈ ℝ^{L×L} where positions j &gt; i are masked. We add this mask to the attention scores before softmax; masked entries become essentially zero after softmax.</t>
  </si>
  <si>
    <t>Head 1 + Head 2</t>
  </si>
  <si>
    <t>three</t>
  </si>
  <si>
    <t>twenty</t>
  </si>
  <si>
    <t>att_out = concat (Head 1 Output + Head 2 Output) | (10x4)</t>
  </si>
  <si>
    <t>four</t>
  </si>
  <si>
    <t>Q.K Transposed (10 x 10)</t>
  </si>
  <si>
    <t>Casual Mask (10 x 10)</t>
  </si>
  <si>
    <t>Large Negative Value  ---&gt;</t>
  </si>
  <si>
    <t>five</t>
  </si>
  <si>
    <t>six</t>
  </si>
  <si>
    <t>W2 ∈ ℝ^{dffxd} (8×4)</t>
  </si>
  <si>
    <t>Final Logits (logits_last) (10x28) = res2 x W_out</t>
  </si>
  <si>
    <t>seven</t>
  </si>
  <si>
    <t>eight</t>
  </si>
  <si>
    <t>nine</t>
  </si>
  <si>
    <t>ten</t>
  </si>
  <si>
    <t>eleven</t>
  </si>
  <si>
    <t>twelve</t>
  </si>
  <si>
    <t>gamma2</t>
  </si>
  <si>
    <t>thirteen</t>
  </si>
  <si>
    <t>relu(ffn1_inter)</t>
  </si>
  <si>
    <t>beta2</t>
  </si>
  <si>
    <t>fourteen</t>
  </si>
  <si>
    <t>WK1 ∈ ℝ^{d×dk} ∈ ℝ^{4×2}</t>
  </si>
  <si>
    <t>K1 = S @ WK1 (10x2)</t>
  </si>
  <si>
    <t>fifteen</t>
  </si>
  <si>
    <t>res2 = LayerNorm( res1 + ffn1_out )  shape (10×4)</t>
  </si>
  <si>
    <t>sixteen</t>
  </si>
  <si>
    <t>seventeen</t>
  </si>
  <si>
    <t>Q.K Transposed / sqrt(dk)</t>
  </si>
  <si>
    <t>scores1_masked = scores1 + mask  (i.e., masked entries ~ -1e9)</t>
  </si>
  <si>
    <t>eighteen</t>
  </si>
  <si>
    <t>Apply softmax row-wise to get predicted probabilities for each token at that position: (L x V)</t>
  </si>
  <si>
    <t>nineteen</t>
  </si>
  <si>
    <t>thirty</t>
  </si>
  <si>
    <t>forty</t>
  </si>
  <si>
    <t>fifty</t>
  </si>
  <si>
    <t>gamma1</t>
  </si>
  <si>
    <t>sixty</t>
  </si>
  <si>
    <t>beta1</t>
  </si>
  <si>
    <t>seventy</t>
  </si>
  <si>
    <t>ffn1_out (10×4) ≈ relu(ffn1_inter) x W2</t>
  </si>
  <si>
    <t>eighty</t>
  </si>
  <si>
    <t>WV1 ∈ ℝ^{d×dk} ∈ ℝ^{4×2}</t>
  </si>
  <si>
    <t>V1 = S @ WK1 (10x2)</t>
  </si>
  <si>
    <t>ninety</t>
  </si>
  <si>
    <t>res1 = LN(S + att_out) — numeric result: (10 x 4)</t>
  </si>
  <si>
    <t>Row-wise softmax | A1 (10 x 10)</t>
  </si>
  <si>
    <t>Training</t>
  </si>
  <si>
    <t>Prob for Cross Entropy</t>
  </si>
  <si>
    <t>Cross Entropy Loss</t>
  </si>
  <si>
    <t>Target Token ID</t>
  </si>
  <si>
    <t>Target Token</t>
  </si>
  <si>
    <t>Input Token</t>
  </si>
  <si>
    <t>Input Token ID</t>
  </si>
  <si>
    <t>Head 1 Output | A1 x V1  (10 x 2)</t>
  </si>
  <si>
    <t>Loss for backpropogation</t>
  </si>
  <si>
    <t>Inference</t>
  </si>
  <si>
    <t>Head 2 : QKV Matrices</t>
  </si>
  <si>
    <t>Head 2 : Scaled dot product</t>
  </si>
  <si>
    <t>Head 2 : Add the causal mask (so entries j&gt;i are heavily negative) + Row-wise softmax</t>
  </si>
  <si>
    <t>WQ2 ∈ ℝ^{d×dk} ∈ ℝ^{4×2}</t>
  </si>
  <si>
    <t>Q2 = S @ WQ2 (10x2)</t>
  </si>
  <si>
    <t>Score for Head 2 = Q.K Transposed / sqrt(dk)</t>
  </si>
  <si>
    <t>Predicted Token ID</t>
  </si>
  <si>
    <t>Predicted Token</t>
  </si>
  <si>
    <t>WK2 ∈ ℝ^{d×dk} ∈ ℝ^{4×2}</t>
  </si>
  <si>
    <t>K2 = S @ WK2 (10x2)</t>
  </si>
  <si>
    <t>scores2_masked = scores2 + mask  (i.e., masked entries ~ -1e9)</t>
  </si>
  <si>
    <t>WV2 ∈ ℝ^{d×dk} ∈ ℝ^{4×2}</t>
  </si>
  <si>
    <t>V2 = S @ WK1 (10x2)</t>
  </si>
  <si>
    <t>Row-wise softmax | A2 (10 x 10)</t>
  </si>
  <si>
    <t>Head 2 Output | A2 x V2  (10 x 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</si>
</sst>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1" fillId="2" fontId="2" numFmtId="2" xfId="0" applyAlignment="1" applyBorder="1" applyFont="1" applyNumberFormat="1">
      <alignment horizontal="center" vertical="center"/>
    </xf>
    <xf borderId="2" fillId="2" fontId="2" numFmtId="2" xfId="0" applyAlignment="1" applyBorder="1" applyFont="1" applyNumberFormat="1">
      <alignment horizontal="center" vertical="center"/>
    </xf>
    <xf borderId="3" fillId="2" fontId="2" numFmtId="2" xfId="0" applyAlignment="1" applyBorder="1" applyFont="1" applyNumberFormat="1">
      <alignment horizontal="center" vertical="center"/>
    </xf>
    <xf borderId="0" fillId="5" fontId="1" numFmtId="0" xfId="0" applyAlignment="1" applyFill="1" applyFont="1">
      <alignment horizontal="center" readingOrder="0"/>
    </xf>
    <xf borderId="0" fillId="4" fontId="2" numFmtId="0" xfId="0" applyFont="1"/>
    <xf borderId="1" fillId="0" fontId="2" numFmtId="2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3" fillId="0" fontId="2" numFmtId="2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4" fillId="2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5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0" fillId="2" fontId="2" numFmtId="0" xfId="0" applyAlignment="1" applyFont="1">
      <alignment horizontal="center"/>
    </xf>
    <xf borderId="5" fillId="2" fontId="2" numFmtId="0" xfId="0" applyAlignment="1" applyBorder="1" applyFont="1">
      <alignment horizontal="center"/>
    </xf>
    <xf borderId="4" fillId="2" fontId="2" numFmtId="2" xfId="0" applyAlignment="1" applyBorder="1" applyFont="1" applyNumberFormat="1">
      <alignment horizontal="center" vertical="center"/>
    </xf>
    <xf borderId="0" fillId="2" fontId="2" numFmtId="2" xfId="0" applyAlignment="1" applyFont="1" applyNumberFormat="1">
      <alignment horizontal="center" vertical="center"/>
    </xf>
    <xf borderId="5" fillId="2" fontId="2" numFmtId="2" xfId="0" applyAlignment="1" applyBorder="1" applyFont="1" applyNumberFormat="1">
      <alignment horizontal="center" vertical="center"/>
    </xf>
    <xf borderId="4" fillId="0" fontId="2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5" fillId="0" fontId="2" numFmtId="2" xfId="0" applyAlignment="1" applyBorder="1" applyFont="1" applyNumberFormat="1">
      <alignment horizontal="center"/>
    </xf>
    <xf borderId="4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5" fillId="3" fontId="2" numFmtId="0" xfId="0" applyAlignment="1" applyBorder="1" applyFont="1">
      <alignment horizontal="center"/>
    </xf>
    <xf borderId="4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4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6" fillId="3" fontId="2" numFmtId="0" xfId="0" applyAlignment="1" applyBorder="1" applyFont="1">
      <alignment horizontal="center"/>
    </xf>
    <xf borderId="7" fillId="3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8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/>
    </xf>
    <xf borderId="6" fillId="2" fontId="2" numFmtId="2" xfId="0" applyAlignment="1" applyBorder="1" applyFont="1" applyNumberFormat="1">
      <alignment horizontal="center" vertical="center"/>
    </xf>
    <xf borderId="7" fillId="2" fontId="2" numFmtId="2" xfId="0" applyAlignment="1" applyBorder="1" applyFont="1" applyNumberFormat="1">
      <alignment horizontal="center" vertical="center"/>
    </xf>
    <xf borderId="8" fillId="2" fontId="2" numFmtId="2" xfId="0" applyAlignment="1" applyBorder="1" applyFont="1" applyNumberFormat="1">
      <alignment horizontal="center" vertical="center"/>
    </xf>
    <xf borderId="6" fillId="0" fontId="2" numFmtId="2" xfId="0" applyAlignment="1" applyBorder="1" applyFont="1" applyNumberFormat="1">
      <alignment horizontal="center"/>
    </xf>
    <xf borderId="7" fillId="0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6" fillId="0" fontId="2" numFmtId="165" xfId="0" applyAlignment="1" applyBorder="1" applyFont="1" applyNumberFormat="1">
      <alignment horizontal="center"/>
    </xf>
    <xf borderId="7" fillId="0" fontId="2" numFmtId="165" xfId="0" applyAlignment="1" applyBorder="1" applyFont="1" applyNumberFormat="1">
      <alignment horizontal="center"/>
    </xf>
    <xf borderId="8" fillId="0" fontId="2" numFmtId="165" xfId="0" applyAlignment="1" applyBorder="1" applyFont="1" applyNumberFormat="1">
      <alignment horizontal="center"/>
    </xf>
    <xf borderId="0" fillId="6" fontId="2" numFmtId="165" xfId="0" applyAlignment="1" applyFill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1" fillId="0" fontId="2" numFmtId="2" xfId="0" applyAlignment="1" applyBorder="1" applyFont="1" applyNumberFormat="1">
      <alignment horizontal="center" vertical="center"/>
    </xf>
    <xf borderId="3" fillId="0" fontId="2" numFmtId="2" xfId="0" applyAlignment="1" applyBorder="1" applyFont="1" applyNumberFormat="1">
      <alignment horizontal="center" vertical="center"/>
    </xf>
    <xf borderId="4" fillId="0" fontId="2" numFmtId="2" xfId="0" applyAlignment="1" applyBorder="1" applyFont="1" applyNumberFormat="1">
      <alignment horizontal="center" vertical="center"/>
    </xf>
    <xf borderId="5" fillId="0" fontId="2" numFmtId="2" xfId="0" applyAlignment="1" applyBorder="1" applyFont="1" applyNumberFormat="1">
      <alignment horizontal="center" vertical="center"/>
    </xf>
    <xf borderId="2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6" fillId="0" fontId="2" numFmtId="2" xfId="0" applyAlignment="1" applyBorder="1" applyFont="1" applyNumberFormat="1">
      <alignment horizontal="center" vertical="center"/>
    </xf>
    <xf borderId="8" fillId="0" fontId="2" numFmtId="2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readingOrder="0"/>
    </xf>
    <xf borderId="7" fillId="0" fontId="2" numFmtId="2" xfId="0" applyAlignment="1" applyBorder="1" applyFont="1" applyNumberFormat="1">
      <alignment horizontal="center" vertical="center"/>
    </xf>
    <xf borderId="6" fillId="2" fontId="2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 readingOrder="0"/>
    </xf>
    <xf borderId="8" fillId="2" fontId="2" numFmtId="0" xfId="0" applyAlignment="1" applyBorder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0" fontId="2" numFmtId="165" xfId="0" applyFont="1" applyNumberFormat="1"/>
    <xf borderId="0" fillId="9" fontId="2" numFmtId="0" xfId="0" applyAlignment="1" applyFill="1" applyFont="1">
      <alignment horizontal="center"/>
    </xf>
    <xf borderId="0" fillId="9" fontId="2" numFmtId="0" xfId="0" applyAlignment="1" applyFont="1">
      <alignment horizontal="center" readingOrder="0"/>
    </xf>
    <xf borderId="0" fillId="0" fontId="1" numFmtId="0" xfId="0" applyFont="1"/>
    <xf borderId="1" fillId="3" fontId="5" numFmtId="0" xfId="0" applyAlignment="1" applyBorder="1" applyFont="1">
      <alignment horizontal="center" vertical="bottom"/>
    </xf>
    <xf borderId="3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8" fillId="3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66</xdr:col>
      <xdr:colOff>0</xdr:colOff>
      <xdr:row>16</xdr:row>
      <xdr:rowOff>0</xdr:rowOff>
    </xdr:from>
    <xdr:ext cx="4572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27" max="127" width="13.38"/>
  </cols>
  <sheetData>
    <row r="1">
      <c r="A1" s="1" t="s">
        <v>0</v>
      </c>
      <c r="D1" s="1" t="s">
        <v>1</v>
      </c>
      <c r="J1" s="1" t="s">
        <v>2</v>
      </c>
      <c r="Q1" s="1" t="s">
        <v>3</v>
      </c>
      <c r="X1" s="1" t="s">
        <v>4</v>
      </c>
      <c r="AD1" s="2" t="s">
        <v>5</v>
      </c>
      <c r="BO1" s="2" t="s">
        <v>6</v>
      </c>
      <c r="BU1" s="2" t="s">
        <v>7</v>
      </c>
      <c r="CL1" s="3"/>
      <c r="CM1" s="2" t="s">
        <v>8</v>
      </c>
      <c r="CS1" s="3"/>
      <c r="CT1" s="1" t="s">
        <v>9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</row>
    <row r="2">
      <c r="B2" s="4" t="s">
        <v>10</v>
      </c>
      <c r="D2" s="5" t="s">
        <v>11</v>
      </c>
      <c r="J2" s="5" t="s">
        <v>12</v>
      </c>
      <c r="Q2" s="5" t="s">
        <v>13</v>
      </c>
      <c r="X2" s="5" t="s">
        <v>14</v>
      </c>
      <c r="AD2" s="6" t="s">
        <v>15</v>
      </c>
      <c r="BO2" s="5" t="s">
        <v>16</v>
      </c>
      <c r="BU2" s="5" t="s">
        <v>17</v>
      </c>
      <c r="CM2" s="5" t="s">
        <v>18</v>
      </c>
      <c r="CT2" s="5" t="s">
        <v>19</v>
      </c>
    </row>
    <row r="3">
      <c r="D3" s="5" t="s">
        <v>20</v>
      </c>
      <c r="E3" s="5" t="s">
        <v>21</v>
      </c>
      <c r="J3" s="5" t="s">
        <v>22</v>
      </c>
      <c r="K3" s="5" t="s">
        <v>23</v>
      </c>
      <c r="L3" s="5" t="s">
        <v>24</v>
      </c>
      <c r="Q3" s="5" t="s">
        <v>25</v>
      </c>
      <c r="R3" s="5" t="s">
        <v>26</v>
      </c>
      <c r="X3" s="5" t="s">
        <v>27</v>
      </c>
      <c r="Y3" s="5" t="s">
        <v>25</v>
      </c>
      <c r="Z3" s="5" t="s">
        <v>28</v>
      </c>
      <c r="AD3" s="5" t="s">
        <v>29</v>
      </c>
      <c r="BO3" s="5" t="s">
        <v>30</v>
      </c>
      <c r="BU3" s="5" t="s">
        <v>31</v>
      </c>
      <c r="CM3" s="5" t="s">
        <v>32</v>
      </c>
    </row>
    <row r="4">
      <c r="AD4" s="5" t="s">
        <v>33</v>
      </c>
    </row>
    <row r="5">
      <c r="A5" s="7" t="s">
        <v>34</v>
      </c>
      <c r="B5" s="7" t="s">
        <v>35</v>
      </c>
      <c r="D5" s="7" t="s">
        <v>35</v>
      </c>
      <c r="E5" s="8" t="s">
        <v>36</v>
      </c>
      <c r="J5" s="7" t="s">
        <v>34</v>
      </c>
      <c r="K5" s="7" t="s">
        <v>35</v>
      </c>
      <c r="L5" s="8" t="s">
        <v>37</v>
      </c>
      <c r="Q5" s="7" t="s">
        <v>34</v>
      </c>
      <c r="R5" s="7" t="s">
        <v>38</v>
      </c>
      <c r="S5" s="8" t="s">
        <v>39</v>
      </c>
      <c r="X5" s="7" t="s">
        <v>34</v>
      </c>
      <c r="Y5" s="8" t="s">
        <v>40</v>
      </c>
      <c r="BO5" s="5" t="s">
        <v>41</v>
      </c>
      <c r="BP5" s="5" t="s">
        <v>42</v>
      </c>
      <c r="BQ5" s="5" t="s">
        <v>43</v>
      </c>
      <c r="BU5" s="5" t="s">
        <v>44</v>
      </c>
      <c r="CD5" s="5" t="s">
        <v>45</v>
      </c>
      <c r="CM5" s="5" t="s">
        <v>46</v>
      </c>
      <c r="CT5" s="5" t="s">
        <v>47</v>
      </c>
      <c r="CV5" s="5" t="s">
        <v>48</v>
      </c>
    </row>
    <row r="6">
      <c r="A6" s="5" t="s">
        <v>49</v>
      </c>
      <c r="B6" s="5">
        <v>0.0</v>
      </c>
      <c r="D6" s="9">
        <v>0.0</v>
      </c>
      <c r="E6" s="10">
        <f t="shared" ref="E6:H6" si="1">RANDBETWEEN(1,99)/100</f>
        <v>0.73</v>
      </c>
      <c r="F6" s="11">
        <f t="shared" si="1"/>
        <v>0.75</v>
      </c>
      <c r="G6" s="11">
        <f t="shared" si="1"/>
        <v>0.48</v>
      </c>
      <c r="H6" s="12">
        <f t="shared" si="1"/>
        <v>0.62</v>
      </c>
      <c r="J6" s="5" t="s">
        <v>49</v>
      </c>
      <c r="K6" s="9">
        <f t="shared" ref="K6:K15" si="8">vlookup(J6,$A$6:$B$33,2,0)</f>
        <v>0</v>
      </c>
      <c r="L6" s="13">
        <f t="shared" ref="L6:L15" si="9">vlookup($K6,$D$6:$H$33,2,0)</f>
        <v>0.73</v>
      </c>
      <c r="M6" s="14">
        <f t="shared" ref="M6:M15" si="10">vlookup($K6,$D$6:$H$33,3,0)</f>
        <v>0.75</v>
      </c>
      <c r="N6" s="14">
        <f t="shared" ref="N6:N15" si="11">vlookup($K6,$D$6:$H$33,4,0)</f>
        <v>0.48</v>
      </c>
      <c r="O6" s="15">
        <f t="shared" ref="O6:O15" si="12">vlookup($K6,$D$6:$H$33,5,0)</f>
        <v>0.62</v>
      </c>
      <c r="Q6" s="5" t="s">
        <v>49</v>
      </c>
      <c r="R6" s="9">
        <f>vlookup(Q6,$A$6:$B$33,2,0)</f>
        <v>0</v>
      </c>
      <c r="S6" s="16">
        <v>0.062</v>
      </c>
      <c r="T6" s="17">
        <v>0.05</v>
      </c>
      <c r="U6" s="17">
        <v>0.014</v>
      </c>
      <c r="V6" s="18">
        <v>0.032</v>
      </c>
      <c r="X6" s="5" t="s">
        <v>49</v>
      </c>
      <c r="Y6" s="16">
        <f t="shared" ref="Y6:AB6" si="2">S6+L6</f>
        <v>0.792</v>
      </c>
      <c r="Z6" s="17">
        <f t="shared" si="2"/>
        <v>0.8</v>
      </c>
      <c r="AA6" s="17">
        <f t="shared" si="2"/>
        <v>0.494</v>
      </c>
      <c r="AB6" s="18">
        <f t="shared" si="2"/>
        <v>0.652</v>
      </c>
      <c r="AD6" s="19" t="s">
        <v>50</v>
      </c>
      <c r="AI6" s="20"/>
      <c r="AJ6" s="19" t="s">
        <v>51</v>
      </c>
      <c r="AT6" s="20"/>
      <c r="AU6" s="19" t="s">
        <v>52</v>
      </c>
      <c r="BH6" s="19" t="s">
        <v>53</v>
      </c>
      <c r="BO6" s="21">
        <f t="shared" ref="BO6:BR6" si="3">BH10+Y6</f>
        <v>0.968272</v>
      </c>
      <c r="BP6" s="22">
        <f t="shared" si="3"/>
        <v>0.922824</v>
      </c>
      <c r="BQ6" s="22">
        <f t="shared" si="3"/>
        <v>0.593072</v>
      </c>
      <c r="BR6" s="23">
        <f t="shared" si="3"/>
        <v>0.766794</v>
      </c>
      <c r="BU6" s="24">
        <f t="shared" ref="BU6:CB6" si="4">RANDBETWEEN(0.1,0.9)/100</f>
        <v>0.01</v>
      </c>
      <c r="BV6" s="25">
        <f t="shared" si="4"/>
        <v>0.01</v>
      </c>
      <c r="BW6" s="25">
        <f t="shared" si="4"/>
        <v>0.01</v>
      </c>
      <c r="BX6" s="25">
        <f t="shared" si="4"/>
        <v>0.01</v>
      </c>
      <c r="BY6" s="25">
        <f t="shared" si="4"/>
        <v>0.01</v>
      </c>
      <c r="BZ6" s="25">
        <f t="shared" si="4"/>
        <v>0.01</v>
      </c>
      <c r="CA6" s="25">
        <f t="shared" si="4"/>
        <v>0.01</v>
      </c>
      <c r="CB6" s="26">
        <f t="shared" si="4"/>
        <v>0.01</v>
      </c>
      <c r="CD6" s="27">
        <f t="array" ref="CD6:CK15">MMULT(BO33:BR42,BU6:CB9)</f>
        <v>0.002937282384</v>
      </c>
      <c r="CE6" s="28">
        <v>0.0029372823836651177</v>
      </c>
      <c r="CF6" s="28">
        <v>0.0029372823836651177</v>
      </c>
      <c r="CG6" s="28">
        <v>0.0029372823836651177</v>
      </c>
      <c r="CH6" s="28">
        <v>0.0029372823836651177</v>
      </c>
      <c r="CI6" s="28">
        <v>0.0029372823836651177</v>
      </c>
      <c r="CJ6" s="28">
        <v>0.0029372823836651177</v>
      </c>
      <c r="CK6" s="29">
        <v>0.0029372823836651177</v>
      </c>
      <c r="CM6" s="30">
        <f t="shared" ref="CM6:CP6" si="5">BO33+CD31</f>
        <v>1.066576524</v>
      </c>
      <c r="CN6" s="31">
        <f t="shared" si="5"/>
        <v>0.877435414</v>
      </c>
      <c r="CO6" s="31">
        <f t="shared" si="5"/>
        <v>-1.342518516</v>
      </c>
      <c r="CP6" s="32">
        <f t="shared" si="5"/>
        <v>-0.3068252537</v>
      </c>
      <c r="CT6" s="13">
        <f t="shared" ref="CT6:DU6" si="6">RANDBETWEEN(1,99)/100</f>
        <v>0.17</v>
      </c>
      <c r="CU6" s="14">
        <f t="shared" si="6"/>
        <v>0.42</v>
      </c>
      <c r="CV6" s="14">
        <f t="shared" si="6"/>
        <v>0.68</v>
      </c>
      <c r="CW6" s="14">
        <f t="shared" si="6"/>
        <v>0.64</v>
      </c>
      <c r="CX6" s="14">
        <f t="shared" si="6"/>
        <v>0.49</v>
      </c>
      <c r="CY6" s="14">
        <f t="shared" si="6"/>
        <v>0.98</v>
      </c>
      <c r="CZ6" s="14">
        <f t="shared" si="6"/>
        <v>0.27</v>
      </c>
      <c r="DA6" s="14">
        <f t="shared" si="6"/>
        <v>0.04</v>
      </c>
      <c r="DB6" s="14">
        <f t="shared" si="6"/>
        <v>0.75</v>
      </c>
      <c r="DC6" s="14">
        <f t="shared" si="6"/>
        <v>0.66</v>
      </c>
      <c r="DD6" s="14">
        <f t="shared" si="6"/>
        <v>0.25</v>
      </c>
      <c r="DE6" s="14">
        <f t="shared" si="6"/>
        <v>0.35</v>
      </c>
      <c r="DF6" s="14">
        <f t="shared" si="6"/>
        <v>0.42</v>
      </c>
      <c r="DG6" s="14">
        <f t="shared" si="6"/>
        <v>0.77</v>
      </c>
      <c r="DH6" s="14">
        <f t="shared" si="6"/>
        <v>0.34</v>
      </c>
      <c r="DI6" s="14">
        <f t="shared" si="6"/>
        <v>0.49</v>
      </c>
      <c r="DJ6" s="14">
        <f t="shared" si="6"/>
        <v>0.63</v>
      </c>
      <c r="DK6" s="14">
        <f t="shared" si="6"/>
        <v>0.88</v>
      </c>
      <c r="DL6" s="14">
        <f t="shared" si="6"/>
        <v>0.99</v>
      </c>
      <c r="DM6" s="14">
        <f t="shared" si="6"/>
        <v>0.61</v>
      </c>
      <c r="DN6" s="14">
        <f t="shared" si="6"/>
        <v>0.55</v>
      </c>
      <c r="DO6" s="14">
        <f t="shared" si="6"/>
        <v>0.26</v>
      </c>
      <c r="DP6" s="14">
        <f t="shared" si="6"/>
        <v>0.69</v>
      </c>
      <c r="DQ6" s="14">
        <f t="shared" si="6"/>
        <v>0.96</v>
      </c>
      <c r="DR6" s="14">
        <f t="shared" si="6"/>
        <v>0.6</v>
      </c>
      <c r="DS6" s="14">
        <f t="shared" si="6"/>
        <v>0.24</v>
      </c>
      <c r="DT6" s="14">
        <f t="shared" si="6"/>
        <v>0.33</v>
      </c>
      <c r="DU6" s="15">
        <f t="shared" si="6"/>
        <v>0.1</v>
      </c>
    </row>
    <row r="7">
      <c r="A7" s="5" t="s">
        <v>54</v>
      </c>
      <c r="B7" s="33">
        <f t="shared" ref="B7:B33" si="18">B6+1</f>
        <v>1</v>
      </c>
      <c r="D7" s="34">
        <f t="shared" ref="D7:D33" si="19">D6+1</f>
        <v>1</v>
      </c>
      <c r="E7" s="35">
        <f t="shared" ref="E7:H7" si="7">RANDBETWEEN(1,99)/100</f>
        <v>0.1</v>
      </c>
      <c r="F7" s="36">
        <f t="shared" si="7"/>
        <v>0.91</v>
      </c>
      <c r="G7" s="36">
        <f t="shared" si="7"/>
        <v>0.79</v>
      </c>
      <c r="H7" s="37">
        <f t="shared" si="7"/>
        <v>0.41</v>
      </c>
      <c r="J7" s="5" t="s">
        <v>55</v>
      </c>
      <c r="K7" s="9">
        <f t="shared" si="8"/>
        <v>27</v>
      </c>
      <c r="L7" s="38">
        <f t="shared" si="9"/>
        <v>0.16</v>
      </c>
      <c r="M7" s="39">
        <f t="shared" si="10"/>
        <v>0.3</v>
      </c>
      <c r="N7" s="39">
        <f t="shared" si="11"/>
        <v>0.08</v>
      </c>
      <c r="O7" s="40">
        <f t="shared" si="12"/>
        <v>0.13</v>
      </c>
      <c r="Q7" s="5" t="s">
        <v>55</v>
      </c>
      <c r="R7" s="9">
        <f t="shared" ref="R7:R15" si="21">R6+1</f>
        <v>1</v>
      </c>
      <c r="S7" s="41">
        <v>0.077</v>
      </c>
      <c r="T7" s="42">
        <v>0.025</v>
      </c>
      <c r="U7" s="42">
        <v>0.082</v>
      </c>
      <c r="V7" s="43">
        <v>0.03</v>
      </c>
      <c r="X7" s="5" t="s">
        <v>55</v>
      </c>
      <c r="Y7" s="41">
        <f t="shared" ref="Y7:AB7" si="13">S7+L7</f>
        <v>0.237</v>
      </c>
      <c r="Z7" s="42">
        <f t="shared" si="13"/>
        <v>0.325</v>
      </c>
      <c r="AA7" s="42">
        <f t="shared" si="13"/>
        <v>0.162</v>
      </c>
      <c r="AB7" s="43">
        <f t="shared" si="13"/>
        <v>0.16</v>
      </c>
      <c r="AD7" s="5" t="s">
        <v>56</v>
      </c>
      <c r="AG7" s="5" t="s">
        <v>57</v>
      </c>
      <c r="AJ7" s="5" t="s">
        <v>58</v>
      </c>
      <c r="AU7" s="6" t="s">
        <v>59</v>
      </c>
      <c r="BH7" s="5" t="s">
        <v>60</v>
      </c>
      <c r="BO7" s="44">
        <f t="shared" ref="BO7:BR7" si="14">BH11+Y7</f>
        <v>0.3544681525</v>
      </c>
      <c r="BP7" s="45">
        <f t="shared" si="14"/>
        <v>0.4042472047</v>
      </c>
      <c r="BQ7" s="45">
        <f t="shared" si="14"/>
        <v>0.2277743645</v>
      </c>
      <c r="BR7" s="46">
        <f t="shared" si="14"/>
        <v>0.2344867035</v>
      </c>
      <c r="BU7" s="47">
        <f t="shared" ref="BU7:CB7" si="15">RANDBETWEEN(0.1,0.9)/100</f>
        <v>0.01</v>
      </c>
      <c r="BV7" s="48">
        <f t="shared" si="15"/>
        <v>0.01</v>
      </c>
      <c r="BW7" s="48">
        <f t="shared" si="15"/>
        <v>0.01</v>
      </c>
      <c r="BX7" s="48">
        <f t="shared" si="15"/>
        <v>0.01</v>
      </c>
      <c r="BY7" s="48">
        <f t="shared" si="15"/>
        <v>0.01</v>
      </c>
      <c r="BZ7" s="48">
        <f t="shared" si="15"/>
        <v>0.01</v>
      </c>
      <c r="CA7" s="48">
        <f t="shared" si="15"/>
        <v>0.01</v>
      </c>
      <c r="CB7" s="49">
        <f t="shared" si="15"/>
        <v>0.01</v>
      </c>
      <c r="CD7" s="50">
        <v>0.003561515065688678</v>
      </c>
      <c r="CE7" s="51">
        <v>0.003561515065688678</v>
      </c>
      <c r="CF7" s="51">
        <v>0.003561515065688678</v>
      </c>
      <c r="CG7" s="51">
        <v>0.003561515065688678</v>
      </c>
      <c r="CH7" s="51">
        <v>0.003561515065688678</v>
      </c>
      <c r="CI7" s="51">
        <v>0.003561515065688678</v>
      </c>
      <c r="CJ7" s="51">
        <v>0.003561515065688678</v>
      </c>
      <c r="CK7" s="52">
        <v>0.003561515065688678</v>
      </c>
      <c r="CM7" s="53">
        <f t="shared" ref="CM7:CP7" si="16">BO34+CD32</f>
        <v>0.6556167255</v>
      </c>
      <c r="CN7" s="54">
        <f t="shared" si="16"/>
        <v>1.537812667</v>
      </c>
      <c r="CO7" s="54">
        <f t="shared" si="16"/>
        <v>-0.9137870191</v>
      </c>
      <c r="CP7" s="55">
        <f t="shared" si="16"/>
        <v>-0.9223511822</v>
      </c>
      <c r="CT7" s="38">
        <f t="shared" ref="CT7:DU7" si="17">RANDBETWEEN(1,99)/100</f>
        <v>0.71</v>
      </c>
      <c r="CU7" s="39">
        <f t="shared" si="17"/>
        <v>0.83</v>
      </c>
      <c r="CV7" s="39">
        <f t="shared" si="17"/>
        <v>0.13</v>
      </c>
      <c r="CW7" s="39">
        <f t="shared" si="17"/>
        <v>0.45</v>
      </c>
      <c r="CX7" s="39">
        <f t="shared" si="17"/>
        <v>0.47</v>
      </c>
      <c r="CY7" s="39">
        <f t="shared" si="17"/>
        <v>0.17</v>
      </c>
      <c r="CZ7" s="39">
        <f t="shared" si="17"/>
        <v>0.66</v>
      </c>
      <c r="DA7" s="39">
        <f t="shared" si="17"/>
        <v>0.09</v>
      </c>
      <c r="DB7" s="39">
        <f t="shared" si="17"/>
        <v>0.46</v>
      </c>
      <c r="DC7" s="39">
        <f t="shared" si="17"/>
        <v>0.1</v>
      </c>
      <c r="DD7" s="39">
        <f t="shared" si="17"/>
        <v>0.2</v>
      </c>
      <c r="DE7" s="39">
        <f t="shared" si="17"/>
        <v>0.19</v>
      </c>
      <c r="DF7" s="39">
        <f t="shared" si="17"/>
        <v>0.29</v>
      </c>
      <c r="DG7" s="39">
        <f t="shared" si="17"/>
        <v>0.78</v>
      </c>
      <c r="DH7" s="39">
        <f t="shared" si="17"/>
        <v>0.66</v>
      </c>
      <c r="DI7" s="39">
        <f t="shared" si="17"/>
        <v>0.16</v>
      </c>
      <c r="DJ7" s="39">
        <f t="shared" si="17"/>
        <v>0.99</v>
      </c>
      <c r="DK7" s="39">
        <f t="shared" si="17"/>
        <v>0.16</v>
      </c>
      <c r="DL7" s="39">
        <f t="shared" si="17"/>
        <v>0.3</v>
      </c>
      <c r="DM7" s="39">
        <f t="shared" si="17"/>
        <v>0.82</v>
      </c>
      <c r="DN7" s="39">
        <f t="shared" si="17"/>
        <v>0.43</v>
      </c>
      <c r="DO7" s="39">
        <f t="shared" si="17"/>
        <v>0.47</v>
      </c>
      <c r="DP7" s="39">
        <f t="shared" si="17"/>
        <v>0.4</v>
      </c>
      <c r="DQ7" s="39">
        <f t="shared" si="17"/>
        <v>0.49</v>
      </c>
      <c r="DR7" s="39">
        <f t="shared" si="17"/>
        <v>0.58</v>
      </c>
      <c r="DS7" s="39">
        <f t="shared" si="17"/>
        <v>0.86</v>
      </c>
      <c r="DT7" s="39">
        <f t="shared" si="17"/>
        <v>0.26</v>
      </c>
      <c r="DU7" s="40">
        <f t="shared" si="17"/>
        <v>0.14</v>
      </c>
    </row>
    <row r="8">
      <c r="A8" s="5" t="s">
        <v>61</v>
      </c>
      <c r="B8" s="33">
        <f t="shared" si="18"/>
        <v>2</v>
      </c>
      <c r="D8" s="34">
        <f t="shared" si="19"/>
        <v>2</v>
      </c>
      <c r="E8" s="35">
        <f t="shared" ref="E8:H8" si="20">RANDBETWEEN(1,99)/100</f>
        <v>0.07</v>
      </c>
      <c r="F8" s="36">
        <f t="shared" si="20"/>
        <v>0.91</v>
      </c>
      <c r="G8" s="36">
        <f t="shared" si="20"/>
        <v>0.13</v>
      </c>
      <c r="H8" s="37">
        <f t="shared" si="20"/>
        <v>0.11</v>
      </c>
      <c r="J8" s="5" t="s">
        <v>62</v>
      </c>
      <c r="K8" s="9">
        <f t="shared" si="8"/>
        <v>19</v>
      </c>
      <c r="L8" s="38">
        <f t="shared" si="9"/>
        <v>0.91</v>
      </c>
      <c r="M8" s="39">
        <f t="shared" si="10"/>
        <v>0.46</v>
      </c>
      <c r="N8" s="39">
        <f t="shared" si="11"/>
        <v>0.48</v>
      </c>
      <c r="O8" s="40">
        <f t="shared" si="12"/>
        <v>0.94</v>
      </c>
      <c r="Q8" s="5" t="s">
        <v>62</v>
      </c>
      <c r="R8" s="9">
        <f t="shared" si="21"/>
        <v>2</v>
      </c>
      <c r="S8" s="41">
        <v>0.044</v>
      </c>
      <c r="T8" s="42">
        <v>0.068</v>
      </c>
      <c r="U8" s="42">
        <v>0.02</v>
      </c>
      <c r="V8" s="43">
        <v>0.061</v>
      </c>
      <c r="X8" s="5" t="s">
        <v>62</v>
      </c>
      <c r="Y8" s="41">
        <f t="shared" ref="Y8:AB8" si="22">S8+L8</f>
        <v>0.954</v>
      </c>
      <c r="Z8" s="42">
        <f t="shared" si="22"/>
        <v>0.528</v>
      </c>
      <c r="AA8" s="42">
        <f t="shared" si="22"/>
        <v>0.5</v>
      </c>
      <c r="AB8" s="43">
        <f t="shared" si="22"/>
        <v>1.001</v>
      </c>
      <c r="AD8" s="24">
        <f t="shared" ref="AD8:AE8" si="23">RANDBETWEEN(1,90)/1000</f>
        <v>0.023</v>
      </c>
      <c r="AE8" s="26">
        <f t="shared" si="23"/>
        <v>0.033</v>
      </c>
      <c r="AG8" s="21">
        <f t="array" ref="AG8:AH17">MMULT($Y$6:$AB$15,AD8:AE11)</f>
        <v>0.098956</v>
      </c>
      <c r="AH8" s="23">
        <v>0.09445200000000001</v>
      </c>
      <c r="BH8" s="5" t="s">
        <v>63</v>
      </c>
      <c r="BO8" s="44">
        <f t="shared" ref="BO8:BR8" si="24">BH12+Y8</f>
        <v>1.094088155</v>
      </c>
      <c r="BP8" s="45">
        <f t="shared" si="24"/>
        <v>0.6329486146</v>
      </c>
      <c r="BQ8" s="45">
        <f t="shared" si="24"/>
        <v>0.5793191047</v>
      </c>
      <c r="BR8" s="46">
        <f t="shared" si="24"/>
        <v>1.09813795</v>
      </c>
      <c r="BU8" s="47">
        <f t="shared" ref="BU8:CB8" si="25">RANDBETWEEN(0.1,0.9)/100</f>
        <v>0.01</v>
      </c>
      <c r="BV8" s="48">
        <f t="shared" si="25"/>
        <v>0.01</v>
      </c>
      <c r="BW8" s="48">
        <f t="shared" si="25"/>
        <v>0.01</v>
      </c>
      <c r="BX8" s="48">
        <f t="shared" si="25"/>
        <v>0.01</v>
      </c>
      <c r="BY8" s="48">
        <f t="shared" si="25"/>
        <v>0.01</v>
      </c>
      <c r="BZ8" s="48">
        <f t="shared" si="25"/>
        <v>0.01</v>
      </c>
      <c r="CA8" s="48">
        <f t="shared" si="25"/>
        <v>0.01</v>
      </c>
      <c r="CB8" s="49">
        <f t="shared" si="25"/>
        <v>0.01</v>
      </c>
      <c r="CD8" s="50">
        <v>-7.195727519795636E-4</v>
      </c>
      <c r="CE8" s="51">
        <v>-7.195727519795636E-4</v>
      </c>
      <c r="CF8" s="51">
        <v>-7.195727519795636E-4</v>
      </c>
      <c r="CG8" s="51">
        <v>-7.195727519795636E-4</v>
      </c>
      <c r="CH8" s="51">
        <v>-7.195727519795636E-4</v>
      </c>
      <c r="CI8" s="51">
        <v>-7.195727519795636E-4</v>
      </c>
      <c r="CJ8" s="51">
        <v>-7.195727519795636E-4</v>
      </c>
      <c r="CK8" s="52">
        <v>-7.195727519795636E-4</v>
      </c>
      <c r="CM8" s="53">
        <f t="shared" ref="CM8:CP8" si="26">BO35+CD33</f>
        <v>0.9986791698</v>
      </c>
      <c r="CN8" s="54">
        <f t="shared" si="26"/>
        <v>-1.085364256</v>
      </c>
      <c r="CO8" s="54">
        <f t="shared" si="26"/>
        <v>-0.9954309077</v>
      </c>
      <c r="CP8" s="55">
        <f t="shared" si="26"/>
        <v>1.010158719</v>
      </c>
      <c r="CT8" s="38">
        <f t="shared" ref="CT8:DU8" si="27">RANDBETWEEN(1,99)/100</f>
        <v>0.8</v>
      </c>
      <c r="CU8" s="39">
        <f t="shared" si="27"/>
        <v>0.27</v>
      </c>
      <c r="CV8" s="39">
        <f t="shared" si="27"/>
        <v>0.43</v>
      </c>
      <c r="CW8" s="39">
        <f t="shared" si="27"/>
        <v>0.91</v>
      </c>
      <c r="CX8" s="39">
        <f t="shared" si="27"/>
        <v>0.6</v>
      </c>
      <c r="CY8" s="39">
        <f t="shared" si="27"/>
        <v>0.89</v>
      </c>
      <c r="CZ8" s="39">
        <f t="shared" si="27"/>
        <v>0.8</v>
      </c>
      <c r="DA8" s="39">
        <f t="shared" si="27"/>
        <v>0.96</v>
      </c>
      <c r="DB8" s="39">
        <f t="shared" si="27"/>
        <v>0.97</v>
      </c>
      <c r="DC8" s="39">
        <f t="shared" si="27"/>
        <v>0.35</v>
      </c>
      <c r="DD8" s="39">
        <f t="shared" si="27"/>
        <v>0.47</v>
      </c>
      <c r="DE8" s="39">
        <f t="shared" si="27"/>
        <v>0.34</v>
      </c>
      <c r="DF8" s="39">
        <f t="shared" si="27"/>
        <v>0.23</v>
      </c>
      <c r="DG8" s="39">
        <f t="shared" si="27"/>
        <v>0.89</v>
      </c>
      <c r="DH8" s="39">
        <f t="shared" si="27"/>
        <v>0.48</v>
      </c>
      <c r="DI8" s="39">
        <f t="shared" si="27"/>
        <v>0.35</v>
      </c>
      <c r="DJ8" s="39">
        <f t="shared" si="27"/>
        <v>0.47</v>
      </c>
      <c r="DK8" s="39">
        <f t="shared" si="27"/>
        <v>0.1</v>
      </c>
      <c r="DL8" s="39">
        <f t="shared" si="27"/>
        <v>0.04</v>
      </c>
      <c r="DM8" s="39">
        <f t="shared" si="27"/>
        <v>0.05</v>
      </c>
      <c r="DN8" s="39">
        <f t="shared" si="27"/>
        <v>0.06</v>
      </c>
      <c r="DO8" s="39">
        <f t="shared" si="27"/>
        <v>0.1</v>
      </c>
      <c r="DP8" s="39">
        <f t="shared" si="27"/>
        <v>0.98</v>
      </c>
      <c r="DQ8" s="39">
        <f t="shared" si="27"/>
        <v>0.95</v>
      </c>
      <c r="DR8" s="39">
        <f t="shared" si="27"/>
        <v>0.13</v>
      </c>
      <c r="DS8" s="39">
        <f t="shared" si="27"/>
        <v>0.05</v>
      </c>
      <c r="DT8" s="39">
        <f t="shared" si="27"/>
        <v>0.39</v>
      </c>
      <c r="DU8" s="40">
        <f t="shared" si="27"/>
        <v>0.3</v>
      </c>
    </row>
    <row r="9">
      <c r="A9" s="5" t="s">
        <v>64</v>
      </c>
      <c r="B9" s="33">
        <f t="shared" si="18"/>
        <v>3</v>
      </c>
      <c r="D9" s="34">
        <f t="shared" si="19"/>
        <v>3</v>
      </c>
      <c r="E9" s="35">
        <f t="shared" ref="E9:H9" si="28">RANDBETWEEN(1,99)/100</f>
        <v>0.5</v>
      </c>
      <c r="F9" s="36">
        <f t="shared" si="28"/>
        <v>0.66</v>
      </c>
      <c r="G9" s="36">
        <f t="shared" si="28"/>
        <v>0.55</v>
      </c>
      <c r="H9" s="37">
        <f t="shared" si="28"/>
        <v>0.95</v>
      </c>
      <c r="J9" s="5" t="s">
        <v>49</v>
      </c>
      <c r="K9" s="9">
        <f t="shared" si="8"/>
        <v>0</v>
      </c>
      <c r="L9" s="38">
        <f t="shared" si="9"/>
        <v>0.73</v>
      </c>
      <c r="M9" s="39">
        <f t="shared" si="10"/>
        <v>0.75</v>
      </c>
      <c r="N9" s="39">
        <f t="shared" si="11"/>
        <v>0.48</v>
      </c>
      <c r="O9" s="40">
        <f t="shared" si="12"/>
        <v>0.62</v>
      </c>
      <c r="Q9" s="5" t="s">
        <v>49</v>
      </c>
      <c r="R9" s="9">
        <f t="shared" si="21"/>
        <v>3</v>
      </c>
      <c r="S9" s="41">
        <v>0.086</v>
      </c>
      <c r="T9" s="42">
        <v>0.015</v>
      </c>
      <c r="U9" s="42">
        <v>0.086</v>
      </c>
      <c r="V9" s="43">
        <v>0.018</v>
      </c>
      <c r="X9" s="5" t="s">
        <v>49</v>
      </c>
      <c r="Y9" s="41">
        <f t="shared" ref="Y9:AB9" si="29">S9+L9</f>
        <v>0.816</v>
      </c>
      <c r="Z9" s="42">
        <f t="shared" si="29"/>
        <v>0.765</v>
      </c>
      <c r="AA9" s="42">
        <f t="shared" si="29"/>
        <v>0.566</v>
      </c>
      <c r="AB9" s="43">
        <f t="shared" si="29"/>
        <v>0.638</v>
      </c>
      <c r="AD9" s="47">
        <f t="shared" ref="AD9:AE9" si="30">RANDBETWEEN(1,90)/1000</f>
        <v>0.011</v>
      </c>
      <c r="AE9" s="49">
        <f t="shared" si="30"/>
        <v>0.036</v>
      </c>
      <c r="AG9" s="44">
        <v>0.028474</v>
      </c>
      <c r="AH9" s="46">
        <v>0.029789</v>
      </c>
      <c r="AJ9" s="5" t="s">
        <v>65</v>
      </c>
      <c r="AU9" s="5" t="s">
        <v>66</v>
      </c>
      <c r="AW9" s="5" t="s">
        <v>67</v>
      </c>
      <c r="AY9" s="5">
        <v>-100000.0</v>
      </c>
      <c r="BO9" s="44">
        <f t="shared" ref="BO9:BR9" si="31">BH13+Y9</f>
        <v>0.9655818476</v>
      </c>
      <c r="BP9" s="45">
        <f t="shared" si="31"/>
        <v>0.875727862</v>
      </c>
      <c r="BQ9" s="45">
        <f t="shared" si="31"/>
        <v>0.6510805545</v>
      </c>
      <c r="BR9" s="46">
        <f t="shared" si="31"/>
        <v>0.7400993703</v>
      </c>
      <c r="BU9" s="56">
        <f t="shared" ref="BU9:CB9" si="32">RANDBETWEEN(0.1,0.9)/100</f>
        <v>0.01</v>
      </c>
      <c r="BV9" s="57">
        <f t="shared" si="32"/>
        <v>0.01</v>
      </c>
      <c r="BW9" s="57">
        <f t="shared" si="32"/>
        <v>0.01</v>
      </c>
      <c r="BX9" s="57">
        <f t="shared" si="32"/>
        <v>0.01</v>
      </c>
      <c r="BY9" s="57">
        <f t="shared" si="32"/>
        <v>0.01</v>
      </c>
      <c r="BZ9" s="57">
        <f t="shared" si="32"/>
        <v>0.01</v>
      </c>
      <c r="CA9" s="57">
        <f t="shared" si="32"/>
        <v>0.01</v>
      </c>
      <c r="CB9" s="58">
        <f t="shared" si="32"/>
        <v>0.01</v>
      </c>
      <c r="CD9" s="50">
        <v>0.002362651197198421</v>
      </c>
      <c r="CE9" s="51">
        <v>0.002362651197198421</v>
      </c>
      <c r="CF9" s="51">
        <v>0.002362651197198421</v>
      </c>
      <c r="CG9" s="51">
        <v>0.002362651197198421</v>
      </c>
      <c r="CH9" s="51">
        <v>0.002362651197198421</v>
      </c>
      <c r="CI9" s="51">
        <v>0.002362651197198421</v>
      </c>
      <c r="CJ9" s="51">
        <v>0.002362651197198421</v>
      </c>
      <c r="CK9" s="52">
        <v>0.002362651197198421</v>
      </c>
      <c r="CM9" s="53">
        <f t="shared" ref="CM9:CP9" si="33">BO36+CD34</f>
        <v>1.310073067</v>
      </c>
      <c r="CN9" s="54">
        <f t="shared" si="33"/>
        <v>0.6499176851</v>
      </c>
      <c r="CO9" s="54">
        <f t="shared" si="33"/>
        <v>-1.166604056</v>
      </c>
      <c r="CP9" s="55">
        <f t="shared" si="33"/>
        <v>-0.5563655282</v>
      </c>
      <c r="CT9" s="59">
        <f t="shared" ref="CT9:DU9" si="34">RANDBETWEEN(1,99)/100</f>
        <v>0.01</v>
      </c>
      <c r="CU9" s="60">
        <f t="shared" si="34"/>
        <v>0.07</v>
      </c>
      <c r="CV9" s="60">
        <f t="shared" si="34"/>
        <v>0.29</v>
      </c>
      <c r="CW9" s="60">
        <f t="shared" si="34"/>
        <v>0.63</v>
      </c>
      <c r="CX9" s="60">
        <f t="shared" si="34"/>
        <v>0.83</v>
      </c>
      <c r="CY9" s="60">
        <f t="shared" si="34"/>
        <v>0.72</v>
      </c>
      <c r="CZ9" s="60">
        <f t="shared" si="34"/>
        <v>0.55</v>
      </c>
      <c r="DA9" s="60">
        <f t="shared" si="34"/>
        <v>0.8</v>
      </c>
      <c r="DB9" s="60">
        <f t="shared" si="34"/>
        <v>0.81</v>
      </c>
      <c r="DC9" s="60">
        <f t="shared" si="34"/>
        <v>0.72</v>
      </c>
      <c r="DD9" s="60">
        <f t="shared" si="34"/>
        <v>0.19</v>
      </c>
      <c r="DE9" s="60">
        <f t="shared" si="34"/>
        <v>0.5</v>
      </c>
      <c r="DF9" s="60">
        <f t="shared" si="34"/>
        <v>0.7</v>
      </c>
      <c r="DG9" s="60">
        <f t="shared" si="34"/>
        <v>0.76</v>
      </c>
      <c r="DH9" s="60">
        <f t="shared" si="34"/>
        <v>0.55</v>
      </c>
      <c r="DI9" s="60">
        <f t="shared" si="34"/>
        <v>0.1</v>
      </c>
      <c r="DJ9" s="60">
        <f t="shared" si="34"/>
        <v>0.51</v>
      </c>
      <c r="DK9" s="60">
        <f t="shared" si="34"/>
        <v>0.36</v>
      </c>
      <c r="DL9" s="60">
        <f t="shared" si="34"/>
        <v>0.48</v>
      </c>
      <c r="DM9" s="60">
        <f t="shared" si="34"/>
        <v>0.83</v>
      </c>
      <c r="DN9" s="60">
        <f t="shared" si="34"/>
        <v>0.84</v>
      </c>
      <c r="DO9" s="60">
        <f t="shared" si="34"/>
        <v>0.78</v>
      </c>
      <c r="DP9" s="60">
        <f t="shared" si="34"/>
        <v>0.48</v>
      </c>
      <c r="DQ9" s="60">
        <f t="shared" si="34"/>
        <v>0.57</v>
      </c>
      <c r="DR9" s="60">
        <f t="shared" si="34"/>
        <v>0.83</v>
      </c>
      <c r="DS9" s="60">
        <f t="shared" si="34"/>
        <v>0.68</v>
      </c>
      <c r="DT9" s="60">
        <f t="shared" si="34"/>
        <v>0.35</v>
      </c>
      <c r="DU9" s="61">
        <f t="shared" si="34"/>
        <v>0.21</v>
      </c>
    </row>
    <row r="10">
      <c r="A10" s="5" t="s">
        <v>68</v>
      </c>
      <c r="B10" s="33">
        <f t="shared" si="18"/>
        <v>4</v>
      </c>
      <c r="D10" s="34">
        <f t="shared" si="19"/>
        <v>4</v>
      </c>
      <c r="E10" s="35">
        <f t="shared" ref="E10:H10" si="35">RANDBETWEEN(1,99)/100</f>
        <v>0.32</v>
      </c>
      <c r="F10" s="36">
        <f t="shared" si="35"/>
        <v>0.35</v>
      </c>
      <c r="G10" s="36">
        <f t="shared" si="35"/>
        <v>0.48</v>
      </c>
      <c r="H10" s="37">
        <f t="shared" si="35"/>
        <v>0.45</v>
      </c>
      <c r="J10" s="5" t="s">
        <v>49</v>
      </c>
      <c r="K10" s="9">
        <f t="shared" si="8"/>
        <v>0</v>
      </c>
      <c r="L10" s="38">
        <f t="shared" si="9"/>
        <v>0.73</v>
      </c>
      <c r="M10" s="39">
        <f t="shared" si="10"/>
        <v>0.75</v>
      </c>
      <c r="N10" s="39">
        <f t="shared" si="11"/>
        <v>0.48</v>
      </c>
      <c r="O10" s="40">
        <f t="shared" si="12"/>
        <v>0.62</v>
      </c>
      <c r="Q10" s="5" t="s">
        <v>49</v>
      </c>
      <c r="R10" s="9">
        <f t="shared" si="21"/>
        <v>4</v>
      </c>
      <c r="S10" s="41">
        <v>0.079</v>
      </c>
      <c r="T10" s="42">
        <v>0.042</v>
      </c>
      <c r="U10" s="42">
        <v>0.087</v>
      </c>
      <c r="V10" s="43">
        <v>0.04</v>
      </c>
      <c r="X10" s="5" t="s">
        <v>49</v>
      </c>
      <c r="Y10" s="41">
        <f t="shared" ref="Y10:AB10" si="36">S10+L10</f>
        <v>0.809</v>
      </c>
      <c r="Z10" s="42">
        <f t="shared" si="36"/>
        <v>0.792</v>
      </c>
      <c r="AA10" s="42">
        <f t="shared" si="36"/>
        <v>0.567</v>
      </c>
      <c r="AB10" s="43">
        <f t="shared" si="36"/>
        <v>0.66</v>
      </c>
      <c r="AD10" s="47">
        <f t="shared" ref="AD10:AE10" si="37">RANDBETWEEN(1,90)/1000</f>
        <v>0.044</v>
      </c>
      <c r="AE10" s="49">
        <f t="shared" si="37"/>
        <v>0.014</v>
      </c>
      <c r="AG10" s="44">
        <v>0.126827</v>
      </c>
      <c r="AH10" s="46">
        <v>0.10754</v>
      </c>
      <c r="AJ10" s="21">
        <f t="array" ref="AJ10:AS19">MMULT(AG8:AH17,TRANSPOSE(AG20:AH29))</f>
        <v>0.02719134431</v>
      </c>
      <c r="AK10" s="22">
        <v>0.00890224156</v>
      </c>
      <c r="AL10" s="22">
        <v>0.028666361912</v>
      </c>
      <c r="AM10" s="22">
        <v>0.028320771535999996</v>
      </c>
      <c r="AN10" s="22">
        <v>0.028611585236</v>
      </c>
      <c r="AO10" s="22">
        <v>0.007722801663999999</v>
      </c>
      <c r="AP10" s="22">
        <v>0.028017488648</v>
      </c>
      <c r="AQ10" s="22">
        <v>0.026828955771999997</v>
      </c>
      <c r="AR10" s="22">
        <v>0.027445031200000004</v>
      </c>
      <c r="AS10" s="23">
        <v>0.00821824832</v>
      </c>
      <c r="AU10" s="62">
        <v>0.0</v>
      </c>
      <c r="AV10" s="63">
        <v>-100000</v>
      </c>
      <c r="AW10" s="63">
        <v>-100000</v>
      </c>
      <c r="AX10" s="63">
        <v>-100000</v>
      </c>
      <c r="AY10" s="63">
        <v>-100000</v>
      </c>
      <c r="AZ10" s="63">
        <v>-100000</v>
      </c>
      <c r="BA10" s="63">
        <v>-100000</v>
      </c>
      <c r="BB10" s="63">
        <v>-100000</v>
      </c>
      <c r="BC10" s="63">
        <v>-100000</v>
      </c>
      <c r="BD10" s="64">
        <v>-100000</v>
      </c>
      <c r="BH10" s="21">
        <v>0.176272</v>
      </c>
      <c r="BI10" s="22">
        <v>0.122824</v>
      </c>
      <c r="BJ10" s="22">
        <v>0.099072</v>
      </c>
      <c r="BK10" s="23">
        <v>0.114794</v>
      </c>
      <c r="BO10" s="44">
        <f t="shared" ref="BO10:BR10" si="38">BH14+Y10</f>
        <v>0.9649462685</v>
      </c>
      <c r="BP10" s="45">
        <f t="shared" si="38"/>
        <v>0.9065510501</v>
      </c>
      <c r="BQ10" s="45">
        <f t="shared" si="38"/>
        <v>0.655948476</v>
      </c>
      <c r="BR10" s="46">
        <f t="shared" si="38"/>
        <v>0.7652977839</v>
      </c>
      <c r="CD10" s="50">
        <v>0.0027138149650019023</v>
      </c>
      <c r="CE10" s="51">
        <v>0.0027138149650019023</v>
      </c>
      <c r="CF10" s="51">
        <v>0.0027138149650019023</v>
      </c>
      <c r="CG10" s="51">
        <v>0.0027138149650019023</v>
      </c>
      <c r="CH10" s="51">
        <v>0.0027138149650019023</v>
      </c>
      <c r="CI10" s="51">
        <v>0.0027138149650019023</v>
      </c>
      <c r="CJ10" s="51">
        <v>0.0027138149650019023</v>
      </c>
      <c r="CK10" s="52">
        <v>0.0027138149650019023</v>
      </c>
      <c r="CM10" s="53">
        <f t="shared" ref="CM10:CP10" si="39">BO37+CD35</f>
        <v>1.183382678</v>
      </c>
      <c r="CN10" s="54">
        <f t="shared" si="39"/>
        <v>0.8081025944</v>
      </c>
      <c r="CO10" s="54">
        <f t="shared" si="39"/>
        <v>-1.245388129</v>
      </c>
      <c r="CP10" s="55">
        <f t="shared" si="39"/>
        <v>-0.4738472255</v>
      </c>
    </row>
    <row r="11">
      <c r="A11" s="5" t="s">
        <v>69</v>
      </c>
      <c r="B11" s="33">
        <f t="shared" si="18"/>
        <v>5</v>
      </c>
      <c r="D11" s="34">
        <f t="shared" si="19"/>
        <v>5</v>
      </c>
      <c r="E11" s="35">
        <f t="shared" ref="E11:H11" si="40">RANDBETWEEN(1,99)/100</f>
        <v>0.21</v>
      </c>
      <c r="F11" s="36">
        <f t="shared" si="40"/>
        <v>0.05</v>
      </c>
      <c r="G11" s="36">
        <f t="shared" si="40"/>
        <v>0.27</v>
      </c>
      <c r="H11" s="37">
        <f t="shared" si="40"/>
        <v>0.89</v>
      </c>
      <c r="J11" s="5" t="s">
        <v>55</v>
      </c>
      <c r="K11" s="9">
        <f t="shared" si="8"/>
        <v>27</v>
      </c>
      <c r="L11" s="38">
        <f t="shared" si="9"/>
        <v>0.16</v>
      </c>
      <c r="M11" s="39">
        <f t="shared" si="10"/>
        <v>0.3</v>
      </c>
      <c r="N11" s="39">
        <f t="shared" si="11"/>
        <v>0.08</v>
      </c>
      <c r="O11" s="40">
        <f t="shared" si="12"/>
        <v>0.13</v>
      </c>
      <c r="Q11" s="5" t="s">
        <v>55</v>
      </c>
      <c r="R11" s="9">
        <f t="shared" si="21"/>
        <v>5</v>
      </c>
      <c r="S11" s="41">
        <v>0.051</v>
      </c>
      <c r="T11" s="42">
        <v>0.066</v>
      </c>
      <c r="U11" s="42">
        <v>0.016</v>
      </c>
      <c r="V11" s="43">
        <v>0.011</v>
      </c>
      <c r="X11" s="5" t="s">
        <v>55</v>
      </c>
      <c r="Y11" s="41">
        <f t="shared" ref="Y11:AB11" si="41">S11+L11</f>
        <v>0.211</v>
      </c>
      <c r="Z11" s="42">
        <f t="shared" si="41"/>
        <v>0.366</v>
      </c>
      <c r="AA11" s="42">
        <f t="shared" si="41"/>
        <v>0.096</v>
      </c>
      <c r="AB11" s="43">
        <f t="shared" si="41"/>
        <v>0.141</v>
      </c>
      <c r="AD11" s="56">
        <f t="shared" ref="AD11:AE11" si="42">RANDBETWEEN(1,90)/1000</f>
        <v>0.077</v>
      </c>
      <c r="AE11" s="58">
        <f t="shared" si="42"/>
        <v>0.05</v>
      </c>
      <c r="AG11" s="44">
        <v>0.101213</v>
      </c>
      <c r="AH11" s="46">
        <v>0.09429200000000001</v>
      </c>
      <c r="AJ11" s="44">
        <v>0.008247494888000001</v>
      </c>
      <c r="AK11" s="45">
        <v>0.002695594832</v>
      </c>
      <c r="AL11" s="45">
        <v>0.008720006584</v>
      </c>
      <c r="AM11" s="45">
        <v>0.008589264352</v>
      </c>
      <c r="AN11" s="45">
        <v>0.00867685554</v>
      </c>
      <c r="AO11" s="45">
        <v>0.002337220392</v>
      </c>
      <c r="AP11" s="45">
        <v>0.008521892319999998</v>
      </c>
      <c r="AQ11" s="45">
        <v>0.008093490652</v>
      </c>
      <c r="AR11" s="45">
        <v>0.008320627552</v>
      </c>
      <c r="AS11" s="46">
        <v>0.002487197456</v>
      </c>
      <c r="AU11" s="65">
        <v>0.0</v>
      </c>
      <c r="AV11" s="4">
        <v>0.0</v>
      </c>
      <c r="AW11" s="4">
        <v>-100000</v>
      </c>
      <c r="AX11" s="4">
        <v>-100000</v>
      </c>
      <c r="AY11" s="4">
        <v>-100000</v>
      </c>
      <c r="AZ11" s="4">
        <v>-100000</v>
      </c>
      <c r="BA11" s="4">
        <v>-100000</v>
      </c>
      <c r="BB11" s="4">
        <v>-100000</v>
      </c>
      <c r="BC11" s="4">
        <v>-100000</v>
      </c>
      <c r="BD11" s="66">
        <v>-100000</v>
      </c>
      <c r="BH11" s="44">
        <v>0.1174681525</v>
      </c>
      <c r="BI11" s="45">
        <v>0.07924720471</v>
      </c>
      <c r="BJ11" s="45">
        <v>0.06577436452</v>
      </c>
      <c r="BK11" s="46">
        <v>0.07448670351</v>
      </c>
      <c r="BO11" s="44">
        <f t="shared" ref="BO11:BR11" si="43">BH15+Y11</f>
        <v>0.3500597757</v>
      </c>
      <c r="BP11" s="45">
        <f t="shared" si="43"/>
        <v>0.4660358705</v>
      </c>
      <c r="BQ11" s="45">
        <f t="shared" si="43"/>
        <v>0.174762518</v>
      </c>
      <c r="BR11" s="46">
        <f t="shared" si="43"/>
        <v>0.233683779</v>
      </c>
      <c r="BU11" s="5" t="s">
        <v>70</v>
      </c>
      <c r="CD11" s="50">
        <v>0.003983582384959014</v>
      </c>
      <c r="CE11" s="51">
        <v>0.003983582384959014</v>
      </c>
      <c r="CF11" s="51">
        <v>0.003983582384959014</v>
      </c>
      <c r="CG11" s="51">
        <v>0.003983582384959014</v>
      </c>
      <c r="CH11" s="51">
        <v>0.003983582384959014</v>
      </c>
      <c r="CI11" s="51">
        <v>0.003983582384959014</v>
      </c>
      <c r="CJ11" s="51">
        <v>0.003983582384959014</v>
      </c>
      <c r="CK11" s="52">
        <v>0.003983582384959014</v>
      </c>
      <c r="CM11" s="53">
        <f t="shared" ref="CM11:CP11" si="44">BO38+CD36</f>
        <v>0.4030105199</v>
      </c>
      <c r="CN11" s="54">
        <f t="shared" si="44"/>
        <v>1.695767939</v>
      </c>
      <c r="CO11" s="54">
        <f t="shared" si="44"/>
        <v>-1.056731582</v>
      </c>
      <c r="CP11" s="55">
        <f t="shared" si="44"/>
        <v>-0.6424138923</v>
      </c>
      <c r="CT11" s="5" t="s">
        <v>71</v>
      </c>
    </row>
    <row r="12">
      <c r="A12" s="5" t="s">
        <v>72</v>
      </c>
      <c r="B12" s="33">
        <f t="shared" si="18"/>
        <v>6</v>
      </c>
      <c r="D12" s="34">
        <f t="shared" si="19"/>
        <v>6</v>
      </c>
      <c r="E12" s="35">
        <f t="shared" ref="E12:H12" si="45">RANDBETWEEN(1,99)/100</f>
        <v>0.15</v>
      </c>
      <c r="F12" s="36">
        <f t="shared" si="45"/>
        <v>0.53</v>
      </c>
      <c r="G12" s="36">
        <f t="shared" si="45"/>
        <v>0.35</v>
      </c>
      <c r="H12" s="37">
        <f t="shared" si="45"/>
        <v>0.83</v>
      </c>
      <c r="J12" s="5" t="s">
        <v>62</v>
      </c>
      <c r="K12" s="9">
        <f t="shared" si="8"/>
        <v>19</v>
      </c>
      <c r="L12" s="38">
        <f t="shared" si="9"/>
        <v>0.91</v>
      </c>
      <c r="M12" s="39">
        <f t="shared" si="10"/>
        <v>0.46</v>
      </c>
      <c r="N12" s="39">
        <f t="shared" si="11"/>
        <v>0.48</v>
      </c>
      <c r="O12" s="40">
        <f t="shared" si="12"/>
        <v>0.94</v>
      </c>
      <c r="Q12" s="5" t="s">
        <v>62</v>
      </c>
      <c r="R12" s="9">
        <f t="shared" si="21"/>
        <v>6</v>
      </c>
      <c r="S12" s="41">
        <v>0.019</v>
      </c>
      <c r="T12" s="42">
        <v>0.061</v>
      </c>
      <c r="U12" s="42">
        <v>0.012</v>
      </c>
      <c r="V12" s="43">
        <v>0.027</v>
      </c>
      <c r="X12" s="5" t="s">
        <v>62</v>
      </c>
      <c r="Y12" s="41">
        <f t="shared" ref="Y12:AB12" si="46">S12+L12</f>
        <v>0.929</v>
      </c>
      <c r="Z12" s="42">
        <f t="shared" si="46"/>
        <v>0.521</v>
      </c>
      <c r="AA12" s="42">
        <f t="shared" si="46"/>
        <v>0.492</v>
      </c>
      <c r="AB12" s="43">
        <f t="shared" si="46"/>
        <v>0.967</v>
      </c>
      <c r="AG12" s="44">
        <v>0.103087</v>
      </c>
      <c r="AH12" s="46">
        <v>0.096147</v>
      </c>
      <c r="AJ12" s="44">
        <v>0.032658565794000005</v>
      </c>
      <c r="AK12" s="45">
        <v>0.010715838161999999</v>
      </c>
      <c r="AL12" s="45">
        <v>0.03430014069</v>
      </c>
      <c r="AM12" s="45">
        <v>0.03401922582</v>
      </c>
      <c r="AN12" s="45">
        <v>0.034371702683</v>
      </c>
      <c r="AO12" s="45">
        <v>0.009302539624</v>
      </c>
      <c r="AP12" s="45">
        <v>0.033527543093999995</v>
      </c>
      <c r="AQ12" s="45">
        <v>0.032451506512999995</v>
      </c>
      <c r="AR12" s="45">
        <v>0.032983000952000005</v>
      </c>
      <c r="AS12" s="46">
        <v>0.009899148016</v>
      </c>
      <c r="AU12" s="65">
        <v>0.0</v>
      </c>
      <c r="AV12" s="4">
        <v>0.0</v>
      </c>
      <c r="AW12" s="4">
        <v>0.0</v>
      </c>
      <c r="AX12" s="4">
        <v>-100000</v>
      </c>
      <c r="AY12" s="4">
        <v>-100000</v>
      </c>
      <c r="AZ12" s="4">
        <v>-100000</v>
      </c>
      <c r="BA12" s="4">
        <v>-100000</v>
      </c>
      <c r="BB12" s="4">
        <v>-100000</v>
      </c>
      <c r="BC12" s="4">
        <v>-100000</v>
      </c>
      <c r="BD12" s="66">
        <v>-100000</v>
      </c>
      <c r="BH12" s="44">
        <v>0.1400881545</v>
      </c>
      <c r="BI12" s="45">
        <v>0.1049486146</v>
      </c>
      <c r="BJ12" s="45">
        <v>0.07931910474</v>
      </c>
      <c r="BK12" s="46">
        <v>0.09713795032</v>
      </c>
      <c r="BO12" s="44">
        <f t="shared" ref="BO12:BR12" si="47">BH16+Y12</f>
        <v>1.074200119</v>
      </c>
      <c r="BP12" s="45">
        <f t="shared" si="47"/>
        <v>0.6286145663</v>
      </c>
      <c r="BQ12" s="45">
        <f t="shared" si="47"/>
        <v>0.574434977</v>
      </c>
      <c r="BR12" s="46">
        <f t="shared" si="47"/>
        <v>1.066331435</v>
      </c>
      <c r="BU12" s="24">
        <f t="shared" ref="BU12:BX12" si="48">RANDBETWEEN(0.1,0.9)/100</f>
        <v>0.01</v>
      </c>
      <c r="BV12" s="25">
        <f t="shared" si="48"/>
        <v>0.01</v>
      </c>
      <c r="BW12" s="25">
        <f t="shared" si="48"/>
        <v>0.01</v>
      </c>
      <c r="BX12" s="26">
        <f t="shared" si="48"/>
        <v>0.01</v>
      </c>
      <c r="BY12" s="67"/>
      <c r="BZ12" s="67"/>
      <c r="CA12" s="67"/>
      <c r="CB12" s="67"/>
      <c r="CD12" s="50">
        <v>-7.009686051208906E-4</v>
      </c>
      <c r="CE12" s="51">
        <v>-7.009686051208906E-4</v>
      </c>
      <c r="CF12" s="51">
        <v>-7.009686051208906E-4</v>
      </c>
      <c r="CG12" s="51">
        <v>-7.009686051208906E-4</v>
      </c>
      <c r="CH12" s="51">
        <v>-7.009686051208906E-4</v>
      </c>
      <c r="CI12" s="51">
        <v>-7.009686051208906E-4</v>
      </c>
      <c r="CJ12" s="51">
        <v>-7.009686051208906E-4</v>
      </c>
      <c r="CK12" s="52">
        <v>-7.009686051208906E-4</v>
      </c>
      <c r="CM12" s="53">
        <f t="shared" ref="CM12:CP12" si="49">BO39+CD37</f>
        <v>1.023245191</v>
      </c>
      <c r="CN12" s="54">
        <f t="shared" si="49"/>
        <v>-1.077600895</v>
      </c>
      <c r="CO12" s="54">
        <f t="shared" si="49"/>
        <v>-1.000529597</v>
      </c>
      <c r="CP12" s="55">
        <f t="shared" si="49"/>
        <v>0.9847884407</v>
      </c>
      <c r="CT12" s="21">
        <f t="array" ref="CT12:DU21">MMULT(CM21:CP30,CT6:DU9)</f>
        <v>-0.1871228447</v>
      </c>
      <c r="CU12" s="22">
        <v>0.8587858913125959</v>
      </c>
      <c r="CV12" s="22">
        <v>0.15184351828534237</v>
      </c>
      <c r="CW12" s="22">
        <v>-0.3388848377065091</v>
      </c>
      <c r="CX12" s="22">
        <v>-0.14504009777331905</v>
      </c>
      <c r="CY12" s="22">
        <v>-0.2689971527557352</v>
      </c>
      <c r="CZ12" s="22">
        <v>-0.3412049653764445</v>
      </c>
      <c r="DA12" s="22">
        <v>-1.4386210626944105</v>
      </c>
      <c r="DB12" s="22">
        <v>-0.36392272025554545</v>
      </c>
      <c r="DC12" s="22">
        <v>0.040819601131819816</v>
      </c>
      <c r="DD12" s="22">
        <v>-0.23729040446813637</v>
      </c>
      <c r="DE12" s="22">
        <v>-0.09325522820206594</v>
      </c>
      <c r="DF12" s="22">
        <v>0.1430324954175361</v>
      </c>
      <c r="DG12" s="22">
        <v>0.09187692200487957</v>
      </c>
      <c r="DH12" s="22">
        <v>0.150405369646011</v>
      </c>
      <c r="DI12" s="22">
        <v>0.16334789669343203</v>
      </c>
      <c r="DJ12" s="22">
        <v>0.7987022152483458</v>
      </c>
      <c r="DK12" s="22">
        <v>0.7927185051863916</v>
      </c>
      <c r="DL12" s="22">
        <v>1.0744916334585177</v>
      </c>
      <c r="DM12" s="22">
        <v>1.0397545747797112</v>
      </c>
      <c r="DN12" s="22">
        <v>0.5818821253020627</v>
      </c>
      <c r="DO12" s="22">
        <v>0.29249160072640534</v>
      </c>
      <c r="DP12" s="22">
        <v>-0.3697331751163126</v>
      </c>
      <c r="DQ12" s="22">
        <v>6.854383246124862E-4</v>
      </c>
      <c r="DR12" s="22">
        <v>0.6913314314447485</v>
      </c>
      <c r="DS12" s="22">
        <v>0.755072689535323</v>
      </c>
      <c r="DT12" s="22">
        <v>-0.053437896510920374</v>
      </c>
      <c r="DU12" s="23">
        <v>-0.23516751167526298</v>
      </c>
    </row>
    <row r="13">
      <c r="A13" s="5" t="s">
        <v>73</v>
      </c>
      <c r="B13" s="33">
        <f t="shared" si="18"/>
        <v>7</v>
      </c>
      <c r="D13" s="34">
        <f t="shared" si="19"/>
        <v>7</v>
      </c>
      <c r="E13" s="35">
        <f t="shared" ref="E13:H13" si="50">RANDBETWEEN(1,99)/100</f>
        <v>0.38</v>
      </c>
      <c r="F13" s="36">
        <f t="shared" si="50"/>
        <v>0.98</v>
      </c>
      <c r="G13" s="36">
        <f t="shared" si="50"/>
        <v>0.58</v>
      </c>
      <c r="H13" s="37">
        <f t="shared" si="50"/>
        <v>0.46</v>
      </c>
      <c r="J13" s="5" t="s">
        <v>54</v>
      </c>
      <c r="K13" s="9">
        <f t="shared" si="8"/>
        <v>1</v>
      </c>
      <c r="L13" s="38">
        <f t="shared" si="9"/>
        <v>0.1</v>
      </c>
      <c r="M13" s="39">
        <f t="shared" si="10"/>
        <v>0.91</v>
      </c>
      <c r="N13" s="39">
        <f t="shared" si="11"/>
        <v>0.79</v>
      </c>
      <c r="O13" s="40">
        <f t="shared" si="12"/>
        <v>0.41</v>
      </c>
      <c r="Q13" s="5" t="s">
        <v>54</v>
      </c>
      <c r="R13" s="9">
        <f t="shared" si="21"/>
        <v>7</v>
      </c>
      <c r="S13" s="41">
        <v>0.053</v>
      </c>
      <c r="T13" s="42">
        <v>0.015</v>
      </c>
      <c r="U13" s="42">
        <v>0.069</v>
      </c>
      <c r="V13" s="43">
        <v>0.064</v>
      </c>
      <c r="X13" s="5" t="s">
        <v>54</v>
      </c>
      <c r="Y13" s="41">
        <f t="shared" ref="Y13:AB13" si="51">S13+L13</f>
        <v>0.153</v>
      </c>
      <c r="Z13" s="42">
        <f t="shared" si="51"/>
        <v>0.925</v>
      </c>
      <c r="AA13" s="42">
        <f t="shared" si="51"/>
        <v>0.859</v>
      </c>
      <c r="AB13" s="43">
        <f t="shared" si="51"/>
        <v>0.474</v>
      </c>
      <c r="AG13" s="44">
        <v>0.023960000000000002</v>
      </c>
      <c r="AH13" s="46">
        <v>0.028533</v>
      </c>
      <c r="AJ13" s="44">
        <v>0.027436291566000005</v>
      </c>
      <c r="AK13" s="45">
        <v>0.008986488702</v>
      </c>
      <c r="AL13" s="45">
        <v>0.028902331902000002</v>
      </c>
      <c r="AM13" s="45">
        <v>0.028576602756000002</v>
      </c>
      <c r="AN13" s="45">
        <v>0.028870582589000004</v>
      </c>
      <c r="AO13" s="45">
        <v>0.007796986648</v>
      </c>
      <c r="AP13" s="45">
        <v>0.028248767802000002</v>
      </c>
      <c r="AQ13" s="45">
        <v>0.027109715255</v>
      </c>
      <c r="AR13" s="45">
        <v>0.027695644232000004</v>
      </c>
      <c r="AS13" s="46">
        <v>0.008297160976000001</v>
      </c>
      <c r="AU13" s="65">
        <v>0.0</v>
      </c>
      <c r="AV13" s="4">
        <v>0.0</v>
      </c>
      <c r="AW13" s="4">
        <v>0.0</v>
      </c>
      <c r="AX13" s="4">
        <v>0.0</v>
      </c>
      <c r="AY13" s="4">
        <v>-100000</v>
      </c>
      <c r="AZ13" s="4">
        <v>-100000</v>
      </c>
      <c r="BA13" s="4">
        <v>-100000</v>
      </c>
      <c r="BB13" s="4">
        <v>-100000</v>
      </c>
      <c r="BC13" s="4">
        <v>-100000</v>
      </c>
      <c r="BD13" s="66">
        <v>-100000</v>
      </c>
      <c r="BH13" s="44">
        <v>0.1495818476</v>
      </c>
      <c r="BI13" s="45">
        <v>0.110727862</v>
      </c>
      <c r="BJ13" s="45">
        <v>0.08508055454</v>
      </c>
      <c r="BK13" s="46">
        <v>0.1020993703</v>
      </c>
      <c r="BO13" s="44">
        <f t="shared" ref="BO13:BR13" si="52">BH17+Y13</f>
        <v>0.3001114369</v>
      </c>
      <c r="BP13" s="45">
        <f t="shared" si="52"/>
        <v>1.033221018</v>
      </c>
      <c r="BQ13" s="45">
        <f t="shared" si="52"/>
        <v>0.9458241092</v>
      </c>
      <c r="BR13" s="46">
        <f t="shared" si="52"/>
        <v>0.5695735256</v>
      </c>
      <c r="BU13" s="47">
        <f t="shared" ref="BU13:BX13" si="53">RANDBETWEEN(0.1,0.9)/100</f>
        <v>0.01</v>
      </c>
      <c r="BV13" s="48">
        <f t="shared" si="53"/>
        <v>0.01</v>
      </c>
      <c r="BW13" s="48">
        <f t="shared" si="53"/>
        <v>0.01</v>
      </c>
      <c r="BX13" s="49">
        <f t="shared" si="53"/>
        <v>0.01</v>
      </c>
      <c r="BY13" s="67"/>
      <c r="BZ13" s="67"/>
      <c r="CA13" s="67"/>
      <c r="CB13" s="67"/>
      <c r="CD13" s="50">
        <v>0.001335056067422992</v>
      </c>
      <c r="CE13" s="51">
        <v>0.001335056067422992</v>
      </c>
      <c r="CF13" s="51">
        <v>0.001335056067422992</v>
      </c>
      <c r="CG13" s="51">
        <v>0.001335056067422992</v>
      </c>
      <c r="CH13" s="51">
        <v>0.001335056067422992</v>
      </c>
      <c r="CI13" s="51">
        <v>0.001335056067422992</v>
      </c>
      <c r="CJ13" s="51">
        <v>0.001335056067422992</v>
      </c>
      <c r="CK13" s="52">
        <v>0.001335056067422992</v>
      </c>
      <c r="CM13" s="53">
        <f t="shared" ref="CM13:CP13" si="54">BO40+CD38</f>
        <v>-1.387278315</v>
      </c>
      <c r="CN13" s="54">
        <f t="shared" si="54"/>
        <v>1.286525331</v>
      </c>
      <c r="CO13" s="54">
        <f t="shared" si="54"/>
        <v>0.7131841328</v>
      </c>
      <c r="CP13" s="55">
        <f t="shared" si="54"/>
        <v>-0.4784983238</v>
      </c>
      <c r="CT13" s="44">
        <v>0.5546258970872618</v>
      </c>
      <c r="CU13" s="45">
        <v>1.2832192626881227</v>
      </c>
      <c r="CV13" s="45">
        <v>-0.061243539365345656</v>
      </c>
      <c r="CW13" s="45">
        <v>-0.2974725055352905</v>
      </c>
      <c r="CX13" s="45">
        <v>-0.2724356568847248</v>
      </c>
      <c r="CY13" s="45">
        <v>-0.6361676970955649</v>
      </c>
      <c r="CZ13" s="45">
        <v>0.012583741572168794</v>
      </c>
      <c r="DA13" s="45">
        <v>-1.4168616139952017</v>
      </c>
      <c r="DB13" s="45">
        <v>-0.44416277786366143</v>
      </c>
      <c r="DC13" s="45">
        <v>-0.46289897684099834</v>
      </c>
      <c r="DD13" s="45">
        <v>-0.12128273183394148</v>
      </c>
      <c r="DE13" s="45">
        <v>-0.2674141877842593</v>
      </c>
      <c r="DF13" s="45">
        <v>-0.16299731566901499</v>
      </c>
      <c r="DG13" s="45">
        <v>0.20401073888221377</v>
      </c>
      <c r="DH13" s="45">
        <v>0.32481615899117733</v>
      </c>
      <c r="DI13" s="45">
        <v>0.13348159415948757</v>
      </c>
      <c r="DJ13" s="45">
        <v>1.0674895313051986</v>
      </c>
      <c r="DK13" s="45">
        <v>0.31270244874034386</v>
      </c>
      <c r="DL13" s="45">
        <v>0.5376691595761652</v>
      </c>
      <c r="DM13" s="45">
        <v>0.8339219248632433</v>
      </c>
      <c r="DN13" s="45">
        <v>0.1479908916611995</v>
      </c>
      <c r="DO13" s="45">
        <v>0.07751023946360192</v>
      </c>
      <c r="DP13" s="45">
        <v>-0.2683126634452063</v>
      </c>
      <c r="DQ13" s="45">
        <v>-0.0342924864912334</v>
      </c>
      <c r="DR13" s="45">
        <v>0.369192002132949</v>
      </c>
      <c r="DS13" s="45">
        <v>0.8398136543971612</v>
      </c>
      <c r="DT13" s="45">
        <v>-0.06403470534630895</v>
      </c>
      <c r="DU13" s="46">
        <v>-0.17457778245377337</v>
      </c>
    </row>
    <row r="14">
      <c r="A14" s="5" t="s">
        <v>74</v>
      </c>
      <c r="B14" s="33">
        <f t="shared" si="18"/>
        <v>8</v>
      </c>
      <c r="D14" s="34">
        <f t="shared" si="19"/>
        <v>8</v>
      </c>
      <c r="E14" s="35">
        <f t="shared" ref="E14:H14" si="55">RANDBETWEEN(1,99)/100</f>
        <v>0.57</v>
      </c>
      <c r="F14" s="36">
        <f t="shared" si="55"/>
        <v>0.67</v>
      </c>
      <c r="G14" s="36">
        <f t="shared" si="55"/>
        <v>0.23</v>
      </c>
      <c r="H14" s="37">
        <f t="shared" si="55"/>
        <v>0.05</v>
      </c>
      <c r="J14" s="5" t="s">
        <v>49</v>
      </c>
      <c r="K14" s="9">
        <f t="shared" si="8"/>
        <v>0</v>
      </c>
      <c r="L14" s="38">
        <f t="shared" si="9"/>
        <v>0.73</v>
      </c>
      <c r="M14" s="39">
        <f t="shared" si="10"/>
        <v>0.75</v>
      </c>
      <c r="N14" s="39">
        <f t="shared" si="11"/>
        <v>0.48</v>
      </c>
      <c r="O14" s="40">
        <f t="shared" si="12"/>
        <v>0.62</v>
      </c>
      <c r="Q14" s="5" t="s">
        <v>49</v>
      </c>
      <c r="R14" s="9">
        <f t="shared" si="21"/>
        <v>8</v>
      </c>
      <c r="S14" s="41">
        <v>0.004</v>
      </c>
      <c r="T14" s="42">
        <v>0.045</v>
      </c>
      <c r="U14" s="42">
        <v>0.068</v>
      </c>
      <c r="V14" s="43">
        <v>0.027</v>
      </c>
      <c r="X14" s="5" t="s">
        <v>49</v>
      </c>
      <c r="Y14" s="41">
        <f t="shared" ref="Y14:AB14" si="56">S14+L14</f>
        <v>0.734</v>
      </c>
      <c r="Z14" s="42">
        <f t="shared" si="56"/>
        <v>0.795</v>
      </c>
      <c r="AA14" s="42">
        <f t="shared" si="56"/>
        <v>0.548</v>
      </c>
      <c r="AB14" s="43">
        <f t="shared" si="56"/>
        <v>0.647</v>
      </c>
      <c r="AG14" s="44">
        <v>0.123205</v>
      </c>
      <c r="AH14" s="46">
        <v>0.104651</v>
      </c>
      <c r="AJ14" s="44">
        <v>0.027961982494</v>
      </c>
      <c r="AK14" s="45">
        <v>0.009158479846</v>
      </c>
      <c r="AL14" s="45">
        <v>0.029457177182</v>
      </c>
      <c r="AM14" s="45">
        <v>0.029124108596</v>
      </c>
      <c r="AN14" s="45">
        <v>0.029423695085</v>
      </c>
      <c r="AO14" s="45">
        <v>0.007946159535999999</v>
      </c>
      <c r="AP14" s="45">
        <v>0.02879103533</v>
      </c>
      <c r="AQ14" s="45">
        <v>0.027627280710999996</v>
      </c>
      <c r="AR14" s="45">
        <v>0.028226142856000003</v>
      </c>
      <c r="AS14" s="46">
        <v>0.008455904768</v>
      </c>
      <c r="AU14" s="65">
        <v>0.0</v>
      </c>
      <c r="AV14" s="4">
        <v>0.0</v>
      </c>
      <c r="AW14" s="4">
        <v>0.0</v>
      </c>
      <c r="AX14" s="4">
        <v>0.0</v>
      </c>
      <c r="AY14" s="4">
        <v>0.0</v>
      </c>
      <c r="AZ14" s="4">
        <v>-100000</v>
      </c>
      <c r="BA14" s="4">
        <v>-100000</v>
      </c>
      <c r="BB14" s="4">
        <v>-100000</v>
      </c>
      <c r="BC14" s="4">
        <v>-100000</v>
      </c>
      <c r="BD14" s="66">
        <v>-100000</v>
      </c>
      <c r="BH14" s="44">
        <v>0.1559462685</v>
      </c>
      <c r="BI14" s="45">
        <v>0.1145510501</v>
      </c>
      <c r="BJ14" s="45">
        <v>0.08894847604</v>
      </c>
      <c r="BK14" s="46">
        <v>0.1052977839</v>
      </c>
      <c r="BO14" s="44">
        <f t="shared" ref="BO14:BR14" si="57">BH18+Y14</f>
        <v>0.8843152334</v>
      </c>
      <c r="BP14" s="45">
        <f t="shared" si="57"/>
        <v>0.9050594926</v>
      </c>
      <c r="BQ14" s="45">
        <f t="shared" si="57"/>
        <v>0.636528566</v>
      </c>
      <c r="BR14" s="46">
        <f t="shared" si="57"/>
        <v>0.7443513418</v>
      </c>
      <c r="BU14" s="47">
        <f t="shared" ref="BU14:BX14" si="58">RANDBETWEEN(0.1,0.9)/100</f>
        <v>0.01</v>
      </c>
      <c r="BV14" s="48">
        <f t="shared" si="58"/>
        <v>0.01</v>
      </c>
      <c r="BW14" s="48">
        <f t="shared" si="58"/>
        <v>0.01</v>
      </c>
      <c r="BX14" s="49">
        <f t="shared" si="58"/>
        <v>0.01</v>
      </c>
      <c r="BY14" s="67"/>
      <c r="BZ14" s="67"/>
      <c r="CA14" s="67"/>
      <c r="CB14" s="67"/>
      <c r="CD14" s="50">
        <v>0.0034360971784881903</v>
      </c>
      <c r="CE14" s="51">
        <v>0.0034360971784881903</v>
      </c>
      <c r="CF14" s="51">
        <v>0.0034360971784881903</v>
      </c>
      <c r="CG14" s="51">
        <v>0.0034360971784881903</v>
      </c>
      <c r="CH14" s="51">
        <v>0.0034360971784881903</v>
      </c>
      <c r="CI14" s="51">
        <v>0.0034360971784881903</v>
      </c>
      <c r="CJ14" s="51">
        <v>0.0034360971784881903</v>
      </c>
      <c r="CK14" s="52">
        <v>0.0034360971784881903</v>
      </c>
      <c r="CM14" s="53">
        <f t="shared" ref="CM14:CP14" si="59">BO41+CD39</f>
        <v>0.8497301167</v>
      </c>
      <c r="CN14" s="54">
        <f t="shared" si="59"/>
        <v>1.21537368</v>
      </c>
      <c r="CO14" s="54">
        <f t="shared" si="59"/>
        <v>-1.284564385</v>
      </c>
      <c r="CP14" s="55">
        <f t="shared" si="59"/>
        <v>-0.4358301429</v>
      </c>
      <c r="CT14" s="44">
        <v>-1.4104601587538632</v>
      </c>
      <c r="CU14" s="45">
        <v>-0.7957438752214783</v>
      </c>
      <c r="CV14" s="45">
        <v>0.44040449919614755</v>
      </c>
      <c r="CW14" s="45">
        <v>-0.0761973272895321</v>
      </c>
      <c r="CX14" s="45">
        <v>0.21639567156560724</v>
      </c>
      <c r="CY14" s="45">
        <v>0.7294401713347747</v>
      </c>
      <c r="CZ14" s="45">
        <v>-0.701000789938222</v>
      </c>
      <c r="DA14" s="45">
        <v>-0.09183678951442131</v>
      </c>
      <c r="DB14" s="45">
        <v>0.15173067097338766</v>
      </c>
      <c r="DC14" s="45">
        <v>0.9616401346620418</v>
      </c>
      <c r="DD14" s="45">
        <v>-0.21573153428289543</v>
      </c>
      <c r="DE14" s="45">
        <v>0.3223138084364843</v>
      </c>
      <c r="DF14" s="45">
        <v>0.5619926976078815</v>
      </c>
      <c r="DG14" s="45">
        <v>-0.21698797386238267</v>
      </c>
      <c r="DH14" s="45">
        <v>-0.35553138315276434</v>
      </c>
      <c r="DI14" s="45">
        <v>0.08837747433468886</v>
      </c>
      <c r="DJ14" s="45">
        <v>-0.5160186672750599</v>
      </c>
      <c r="DK14" s="45">
        <v>0.9575232779554976</v>
      </c>
      <c r="DL14" s="45">
        <v>1.0626628980089048</v>
      </c>
      <c r="DM14" s="45">
        <v>0.3646028506806517</v>
      </c>
      <c r="DN14" s="45">
        <v>0.8020114174752224</v>
      </c>
      <c r="DO14" s="45">
        <v>0.3649896908058674</v>
      </c>
      <c r="DP14" s="45">
        <v>-0.1741114932195375</v>
      </c>
      <c r="DQ14" s="45">
        <v>0.09915563350581202</v>
      </c>
      <c r="DR14" s="45">
        <v>0.591082168365942</v>
      </c>
      <c r="DS14" s="45">
        <v>-0.20924107587492968</v>
      </c>
      <c r="DT14" s="45">
        <v>0.018668207539424053</v>
      </c>
      <c r="DU14" s="46">
        <v>-0.12358544545122432</v>
      </c>
    </row>
    <row r="15">
      <c r="A15" s="5" t="s">
        <v>75</v>
      </c>
      <c r="B15" s="33">
        <f t="shared" si="18"/>
        <v>9</v>
      </c>
      <c r="D15" s="34">
        <f t="shared" si="19"/>
        <v>9</v>
      </c>
      <c r="E15" s="35">
        <f t="shared" ref="E15:H15" si="60">RANDBETWEEN(1,99)/100</f>
        <v>0.69</v>
      </c>
      <c r="F15" s="36">
        <f t="shared" si="60"/>
        <v>0.25</v>
      </c>
      <c r="G15" s="36">
        <f t="shared" si="60"/>
        <v>0.01</v>
      </c>
      <c r="H15" s="37">
        <f t="shared" si="60"/>
        <v>0.86</v>
      </c>
      <c r="J15" s="5" t="s">
        <v>55</v>
      </c>
      <c r="K15" s="9">
        <f t="shared" si="8"/>
        <v>27</v>
      </c>
      <c r="L15" s="59">
        <f t="shared" si="9"/>
        <v>0.16</v>
      </c>
      <c r="M15" s="60">
        <f t="shared" si="10"/>
        <v>0.3</v>
      </c>
      <c r="N15" s="60">
        <f t="shared" si="11"/>
        <v>0.08</v>
      </c>
      <c r="O15" s="61">
        <f t="shared" si="12"/>
        <v>0.13</v>
      </c>
      <c r="Q15" s="5" t="s">
        <v>55</v>
      </c>
      <c r="R15" s="9">
        <f t="shared" si="21"/>
        <v>9</v>
      </c>
      <c r="S15" s="68">
        <v>0.074</v>
      </c>
      <c r="T15" s="69">
        <v>0.09</v>
      </c>
      <c r="U15" s="69">
        <v>0.02</v>
      </c>
      <c r="V15" s="70">
        <v>0.008</v>
      </c>
      <c r="X15" s="5" t="s">
        <v>55</v>
      </c>
      <c r="Y15" s="68">
        <f t="shared" ref="Y15:AB15" si="61">S15+L15</f>
        <v>0.234</v>
      </c>
      <c r="Z15" s="69">
        <f t="shared" si="61"/>
        <v>0.39</v>
      </c>
      <c r="AA15" s="69">
        <f t="shared" si="61"/>
        <v>0.1</v>
      </c>
      <c r="AB15" s="70">
        <f t="shared" si="61"/>
        <v>0.138</v>
      </c>
      <c r="AG15" s="44">
        <v>0.08798799999999998</v>
      </c>
      <c r="AH15" s="46">
        <v>0.074075</v>
      </c>
      <c r="AJ15" s="44">
        <v>0.00750206774</v>
      </c>
      <c r="AK15" s="45">
        <v>0.002446201316</v>
      </c>
      <c r="AL15" s="45">
        <v>0.007963510348</v>
      </c>
      <c r="AM15" s="45">
        <v>0.007811938744</v>
      </c>
      <c r="AN15" s="45">
        <v>0.007890836818</v>
      </c>
      <c r="AO15" s="45">
        <v>0.002119418168</v>
      </c>
      <c r="AP15" s="45">
        <v>0.007781661723999999</v>
      </c>
      <c r="AQ15" s="45">
        <v>0.0073064555419999995</v>
      </c>
      <c r="AR15" s="45">
        <v>0.007563786896000001</v>
      </c>
      <c r="AS15" s="46">
        <v>0.0022554640480000002</v>
      </c>
      <c r="AU15" s="65">
        <v>0.0</v>
      </c>
      <c r="AV15" s="4">
        <v>0.0</v>
      </c>
      <c r="AW15" s="4">
        <v>0.0</v>
      </c>
      <c r="AX15" s="4">
        <v>0.0</v>
      </c>
      <c r="AY15" s="4">
        <v>0.0</v>
      </c>
      <c r="AZ15" s="4">
        <v>0.0</v>
      </c>
      <c r="BA15" s="4">
        <v>-100000</v>
      </c>
      <c r="BB15" s="4">
        <v>-100000</v>
      </c>
      <c r="BC15" s="4">
        <v>-100000</v>
      </c>
      <c r="BD15" s="66">
        <v>-100000</v>
      </c>
      <c r="BH15" s="44">
        <v>0.1390597757</v>
      </c>
      <c r="BI15" s="45">
        <v>0.1000358705</v>
      </c>
      <c r="BJ15" s="45">
        <v>0.07876251798</v>
      </c>
      <c r="BK15" s="46">
        <v>0.09268377897</v>
      </c>
      <c r="BO15" s="71">
        <f t="shared" ref="BO15:BR15" si="62">BH19+Y15</f>
        <v>0.3749913161</v>
      </c>
      <c r="BP15" s="72">
        <f t="shared" si="62"/>
        <v>0.4918340913</v>
      </c>
      <c r="BQ15" s="72">
        <f t="shared" si="62"/>
        <v>0.1825258295</v>
      </c>
      <c r="BR15" s="73">
        <f t="shared" si="62"/>
        <v>0.228704948</v>
      </c>
      <c r="BU15" s="47">
        <f t="shared" ref="BU15:BX15" si="63">RANDBETWEEN(0.1,0.9)/100</f>
        <v>0.01</v>
      </c>
      <c r="BV15" s="48">
        <f t="shared" si="63"/>
        <v>0.01</v>
      </c>
      <c r="BW15" s="48">
        <f t="shared" si="63"/>
        <v>0.01</v>
      </c>
      <c r="BX15" s="49">
        <f t="shared" si="63"/>
        <v>0.01</v>
      </c>
      <c r="BY15" s="67"/>
      <c r="BZ15" s="67"/>
      <c r="CA15" s="67"/>
      <c r="CB15" s="67"/>
      <c r="CD15" s="74">
        <v>0.0038882593676728295</v>
      </c>
      <c r="CE15" s="75">
        <v>0.0038882593676728295</v>
      </c>
      <c r="CF15" s="75">
        <v>0.0038882593676728295</v>
      </c>
      <c r="CG15" s="75">
        <v>0.0038882593676728295</v>
      </c>
      <c r="CH15" s="75">
        <v>0.0038882593676728295</v>
      </c>
      <c r="CI15" s="75">
        <v>0.0038882593676728295</v>
      </c>
      <c r="CJ15" s="75">
        <v>0.0038882593676728295</v>
      </c>
      <c r="CK15" s="76">
        <v>0.0038882593676728295</v>
      </c>
      <c r="CM15" s="77">
        <f t="shared" ref="CM15:CP15" si="64">BO42+CD40</f>
        <v>0.4639469342</v>
      </c>
      <c r="CN15" s="78">
        <f t="shared" si="64"/>
        <v>1.671177703</v>
      </c>
      <c r="CO15" s="78">
        <f t="shared" si="64"/>
        <v>-1.007822407</v>
      </c>
      <c r="CP15" s="79">
        <f t="shared" si="64"/>
        <v>-0.7372320511</v>
      </c>
      <c r="CT15" s="44">
        <v>-0.18994543035818645</v>
      </c>
      <c r="CU15" s="45">
        <v>0.7811909961647082</v>
      </c>
      <c r="CV15" s="45">
        <v>0.3031277866611665</v>
      </c>
      <c r="CW15" s="45">
        <v>-0.279040875882342</v>
      </c>
      <c r="CX15" s="45">
        <v>-0.2332869420610414</v>
      </c>
      <c r="CY15" s="45">
        <v>-0.07096381803032459</v>
      </c>
      <c r="CZ15" s="45">
        <v>-0.434503899598972</v>
      </c>
      <c r="DA15" s="45">
        <v>-1.4735019814989558</v>
      </c>
      <c r="DB15" s="45">
        <v>-0.3104320358471734</v>
      </c>
      <c r="DC15" s="45">
        <v>0.0770113610496691</v>
      </c>
      <c r="DD15" s="45">
        <v>-0.1864139773433988</v>
      </c>
      <c r="DE15" s="45">
        <v>-0.11120768963196975</v>
      </c>
      <c r="DF15" s="45">
        <v>0.04933693730824967</v>
      </c>
      <c r="DG15" s="45">
        <v>0.06386746412714828</v>
      </c>
      <c r="DH15" s="45">
        <v>0.018533555028850734</v>
      </c>
      <c r="DI15" s="45">
        <v>0.28821886313855766</v>
      </c>
      <c r="DJ15" s="45">
        <v>0.6637678133776109</v>
      </c>
      <c r="DK15" s="45">
        <v>0.9130671582450001</v>
      </c>
      <c r="DL15" s="45">
        <v>1.1472120790721583</v>
      </c>
      <c r="DM15" s="45">
        <v>0.792650966636995</v>
      </c>
      <c r="DN15" s="45">
        <v>0.42141581909235215</v>
      </c>
      <c r="DO15" s="45">
        <v>0.06674097609887131</v>
      </c>
      <c r="DP15" s="45">
        <v>-0.2349516138439509</v>
      </c>
      <c r="DQ15" s="45">
        <v>0.15570076841518843</v>
      </c>
      <c r="DR15" s="45">
        <v>0.5192569506611888</v>
      </c>
      <c r="DS15" s="45">
        <v>0.4361834357515746</v>
      </c>
      <c r="DT15" s="45">
        <v>-0.050133866118156484</v>
      </c>
      <c r="DU15" s="46">
        <v>-0.24298235368875745</v>
      </c>
    </row>
    <row r="16">
      <c r="A16" s="5" t="s">
        <v>76</v>
      </c>
      <c r="B16" s="33">
        <f t="shared" si="18"/>
        <v>10</v>
      </c>
      <c r="D16" s="34">
        <f t="shared" si="19"/>
        <v>10</v>
      </c>
      <c r="E16" s="35">
        <f t="shared" ref="E16:H16" si="65">RANDBETWEEN(1,99)/100</f>
        <v>0.38</v>
      </c>
      <c r="F16" s="36">
        <f t="shared" si="65"/>
        <v>0.62</v>
      </c>
      <c r="G16" s="36">
        <f t="shared" si="65"/>
        <v>0.5</v>
      </c>
      <c r="H16" s="37">
        <f t="shared" si="65"/>
        <v>0.84</v>
      </c>
      <c r="AG16" s="44">
        <v>0.09955800000000001</v>
      </c>
      <c r="AH16" s="46">
        <v>0.092864</v>
      </c>
      <c r="AJ16" s="44">
        <v>0.03175542365</v>
      </c>
      <c r="AK16" s="45">
        <v>0.010419161162</v>
      </c>
      <c r="AL16" s="45">
        <v>0.033353472706000004</v>
      </c>
      <c r="AM16" s="45">
        <v>0.03307839626799999</v>
      </c>
      <c r="AN16" s="45">
        <v>0.033421079810999996</v>
      </c>
      <c r="AO16" s="45">
        <v>0.009044898816</v>
      </c>
      <c r="AP16" s="45">
        <v>0.032602143598</v>
      </c>
      <c r="AQ16" s="45">
        <v>0.031550807688999996</v>
      </c>
      <c r="AR16" s="45">
        <v>0.032070602872000004</v>
      </c>
      <c r="AS16" s="46">
        <v>0.009624986336</v>
      </c>
      <c r="AU16" s="65">
        <v>0.0</v>
      </c>
      <c r="AV16" s="4">
        <v>0.0</v>
      </c>
      <c r="AW16" s="4">
        <v>0.0</v>
      </c>
      <c r="AX16" s="4">
        <v>0.0</v>
      </c>
      <c r="AY16" s="4">
        <v>0.0</v>
      </c>
      <c r="AZ16" s="4">
        <v>0.0</v>
      </c>
      <c r="BA16" s="4">
        <v>0.0</v>
      </c>
      <c r="BB16" s="4">
        <v>-100000</v>
      </c>
      <c r="BC16" s="4">
        <v>-100000</v>
      </c>
      <c r="BD16" s="66">
        <v>-100000</v>
      </c>
      <c r="BH16" s="44">
        <v>0.1452001187</v>
      </c>
      <c r="BI16" s="45">
        <v>0.1076145663</v>
      </c>
      <c r="BJ16" s="45">
        <v>0.08243497696</v>
      </c>
      <c r="BK16" s="46">
        <v>0.09933143533</v>
      </c>
      <c r="BU16" s="47">
        <f t="shared" ref="BU16:BX16" si="66">RANDBETWEEN(0.1,0.9)/100</f>
        <v>0.01</v>
      </c>
      <c r="BV16" s="48">
        <f t="shared" si="66"/>
        <v>0.01</v>
      </c>
      <c r="BW16" s="48">
        <f t="shared" si="66"/>
        <v>0.01</v>
      </c>
      <c r="BX16" s="49">
        <f t="shared" si="66"/>
        <v>0.01</v>
      </c>
      <c r="BY16" s="67"/>
      <c r="BZ16" s="67"/>
      <c r="CA16" s="67"/>
      <c r="CB16" s="67"/>
      <c r="CT16" s="44">
        <v>-0.14665316732666023</v>
      </c>
      <c r="CU16" s="45">
        <v>0.8572073885129173</v>
      </c>
      <c r="CV16" s="45">
        <v>0.2191752099213901</v>
      </c>
      <c r="CW16" s="45">
        <v>-0.31060417057058937</v>
      </c>
      <c r="CX16" s="45">
        <v>-0.2003038316467562</v>
      </c>
      <c r="CY16" s="45">
        <v>-0.19313828149801898</v>
      </c>
      <c r="CZ16" s="45">
        <v>-0.37299527390701426</v>
      </c>
      <c r="DA16" s="45">
        <v>-1.4766857939350027</v>
      </c>
      <c r="DB16" s="45">
        <v>-0.3466152719044125</v>
      </c>
      <c r="DC16" s="45">
        <v>0.029720280217098716</v>
      </c>
      <c r="DD16" s="45">
        <v>-0.20762859892908722</v>
      </c>
      <c r="DE16" s="45">
        <v>-0.11437503738348981</v>
      </c>
      <c r="DF16" s="45">
        <v>0.07848388516177524</v>
      </c>
      <c r="DG16" s="45">
        <v>0.0855998236839951</v>
      </c>
      <c r="DH16" s="45">
        <v>0.09526314675717384</v>
      </c>
      <c r="DI16" s="45">
        <v>0.22828837361171467</v>
      </c>
      <c r="DJ16" s="45">
        <v>0.7573294629520997</v>
      </c>
      <c r="DK16" s="45">
        <v>0.837579452037796</v>
      </c>
      <c r="DL16" s="45">
        <v>1.0956024510613522</v>
      </c>
      <c r="DM16" s="45">
        <v>0.9156085887642438</v>
      </c>
      <c r="DN16" s="45">
        <v>0.481783294621896</v>
      </c>
      <c r="DO16" s="45">
        <v>0.1676557445659601</v>
      </c>
      <c r="DP16" s="45">
        <v>-0.29970819578468655</v>
      </c>
      <c r="DQ16" s="45">
        <v>0.0784293951466466</v>
      </c>
      <c r="DR16" s="45">
        <v>0.5936213025521899</v>
      </c>
      <c r="DS16" s="45">
        <v>0.6072293401481059</v>
      </c>
      <c r="DT16" s="45">
        <v>-0.05316264258877684</v>
      </c>
      <c r="DU16" s="46">
        <v>-0.2390381858926645</v>
      </c>
    </row>
    <row r="17">
      <c r="A17" s="5" t="s">
        <v>77</v>
      </c>
      <c r="B17" s="33">
        <f t="shared" si="18"/>
        <v>11</v>
      </c>
      <c r="D17" s="34">
        <f t="shared" si="19"/>
        <v>11</v>
      </c>
      <c r="E17" s="35">
        <f t="shared" ref="E17:H17" si="67">RANDBETWEEN(1,99)/100</f>
        <v>0.78</v>
      </c>
      <c r="F17" s="36">
        <f t="shared" si="67"/>
        <v>0.81</v>
      </c>
      <c r="G17" s="36">
        <f t="shared" si="67"/>
        <v>0.37</v>
      </c>
      <c r="H17" s="37">
        <f t="shared" si="67"/>
        <v>0.27</v>
      </c>
      <c r="AG17" s="71">
        <v>0.024698</v>
      </c>
      <c r="AH17" s="73">
        <v>0.030061999999999995</v>
      </c>
      <c r="AJ17" s="44">
        <v>0.022571016236</v>
      </c>
      <c r="AK17" s="45">
        <v>0.007406934307999999</v>
      </c>
      <c r="AL17" s="45">
        <v>0.0237000775</v>
      </c>
      <c r="AM17" s="45">
        <v>0.023511571</v>
      </c>
      <c r="AN17" s="45">
        <v>0.023755309242</v>
      </c>
      <c r="AO17" s="45">
        <v>0.006430312295999999</v>
      </c>
      <c r="AP17" s="45">
        <v>0.023166402556</v>
      </c>
      <c r="AQ17" s="45">
        <v>0.022437505581999993</v>
      </c>
      <c r="AR17" s="45">
        <v>0.022796069968000002</v>
      </c>
      <c r="AS17" s="46">
        <v>0.006842705744</v>
      </c>
      <c r="AU17" s="65">
        <v>0.0</v>
      </c>
      <c r="AV17" s="4">
        <v>0.0</v>
      </c>
      <c r="AW17" s="4">
        <v>0.0</v>
      </c>
      <c r="AX17" s="4">
        <v>0.0</v>
      </c>
      <c r="AY17" s="4">
        <v>0.0</v>
      </c>
      <c r="AZ17" s="4">
        <v>0.0</v>
      </c>
      <c r="BA17" s="4">
        <v>0.0</v>
      </c>
      <c r="BB17" s="4">
        <v>0.0</v>
      </c>
      <c r="BC17" s="4">
        <v>-100000</v>
      </c>
      <c r="BD17" s="66">
        <v>-100000</v>
      </c>
      <c r="BH17" s="44">
        <v>0.1471114369</v>
      </c>
      <c r="BI17" s="45">
        <v>0.1082210185</v>
      </c>
      <c r="BJ17" s="45">
        <v>0.08682410924</v>
      </c>
      <c r="BK17" s="46">
        <v>0.09557352559</v>
      </c>
      <c r="BO17" s="33"/>
      <c r="BU17" s="47">
        <f t="shared" ref="BU17:BX17" si="68">RANDBETWEEN(0.1,0.9)/100</f>
        <v>0.01</v>
      </c>
      <c r="BV17" s="48">
        <f t="shared" si="68"/>
        <v>0.01</v>
      </c>
      <c r="BW17" s="48">
        <f t="shared" si="68"/>
        <v>0.01</v>
      </c>
      <c r="BX17" s="49">
        <f t="shared" si="68"/>
        <v>0.01</v>
      </c>
      <c r="BY17" s="20"/>
      <c r="BZ17" s="20"/>
      <c r="CA17" s="20"/>
      <c r="CB17" s="20"/>
      <c r="CM17" s="5" t="s">
        <v>78</v>
      </c>
      <c r="CN17" s="80">
        <v>1.0</v>
      </c>
      <c r="CO17" s="80">
        <v>1.2</v>
      </c>
      <c r="CP17" s="80">
        <v>0.9</v>
      </c>
      <c r="CQ17" s="80">
        <v>1.0</v>
      </c>
      <c r="CT17" s="44">
        <v>0.5242505218952412</v>
      </c>
      <c r="CU17" s="45">
        <v>1.2885915508521517</v>
      </c>
      <c r="CV17" s="45">
        <v>-0.18969663031909206</v>
      </c>
      <c r="CW17" s="45">
        <v>-0.3370767621082114</v>
      </c>
      <c r="CX17" s="45">
        <v>-0.1809382254656312</v>
      </c>
      <c r="CY17" s="45">
        <v>-0.7779917770179052</v>
      </c>
      <c r="CZ17" s="45">
        <v>0.09066205961138557</v>
      </c>
      <c r="DA17" s="45">
        <v>-1.3215065305067528</v>
      </c>
      <c r="DB17" s="45">
        <v>-0.4702376638193133</v>
      </c>
      <c r="DC17" s="45">
        <v>-0.4685953651404101</v>
      </c>
      <c r="DD17" s="45">
        <v>-0.16176616703132607</v>
      </c>
      <c r="DE17" s="45">
        <v>-0.23762604922714392</v>
      </c>
      <c r="DF17" s="45">
        <v>-0.06989977281467269</v>
      </c>
      <c r="DG17" s="45">
        <v>0.21817651769911472</v>
      </c>
      <c r="DH17" s="45">
        <v>0.42440958940554835</v>
      </c>
      <c r="DI17" s="45">
        <v>0.017569309131814065</v>
      </c>
      <c r="DJ17" s="45">
        <v>1.1348270937672238</v>
      </c>
      <c r="DK17" s="45">
        <v>0.19708081101368577</v>
      </c>
      <c r="DL17" s="45">
        <v>0.4542996816034558</v>
      </c>
      <c r="DM17" s="45">
        <v>1.0156017232787402</v>
      </c>
      <c r="DN17" s="45">
        <v>0.28699206246507347</v>
      </c>
      <c r="DO17" s="45">
        <v>0.2750983734411028</v>
      </c>
      <c r="DP17" s="45">
        <v>-0.37591360007435104</v>
      </c>
      <c r="DQ17" s="45">
        <v>-0.16908315712335154</v>
      </c>
      <c r="DR17" s="45">
        <v>0.5071741442868868</v>
      </c>
      <c r="DS17" s="45">
        <v>1.081600628234522</v>
      </c>
      <c r="DT17" s="45">
        <v>-0.0639354332920718</v>
      </c>
      <c r="DU17" s="46">
        <v>-0.1603191972500083</v>
      </c>
    </row>
    <row r="18">
      <c r="A18" s="5" t="s">
        <v>79</v>
      </c>
      <c r="B18" s="33">
        <f t="shared" si="18"/>
        <v>12</v>
      </c>
      <c r="D18" s="34">
        <f t="shared" si="19"/>
        <v>12</v>
      </c>
      <c r="E18" s="35">
        <f t="shared" ref="E18:H18" si="69">RANDBETWEEN(1,99)/100</f>
        <v>0.84</v>
      </c>
      <c r="F18" s="36">
        <f t="shared" si="69"/>
        <v>0.2</v>
      </c>
      <c r="G18" s="36">
        <f t="shared" si="69"/>
        <v>0.31</v>
      </c>
      <c r="H18" s="37">
        <f t="shared" si="69"/>
        <v>0.06</v>
      </c>
      <c r="AJ18" s="44">
        <v>0.027006119236000003</v>
      </c>
      <c r="AK18" s="45">
        <v>0.008845387876000001</v>
      </c>
      <c r="AL18" s="45">
        <v>0.028450283684000002</v>
      </c>
      <c r="AM18" s="45">
        <v>0.028128516152000002</v>
      </c>
      <c r="AN18" s="45">
        <v>0.028417859446</v>
      </c>
      <c r="AO18" s="45">
        <v>0.00767450792</v>
      </c>
      <c r="AP18" s="45">
        <v>0.027806909228</v>
      </c>
      <c r="AQ18" s="45">
        <v>0.026682714977999997</v>
      </c>
      <c r="AR18" s="45">
        <v>0.027261236976000004</v>
      </c>
      <c r="AS18" s="46">
        <v>0.008166826848</v>
      </c>
      <c r="AU18" s="65">
        <v>0.0</v>
      </c>
      <c r="AV18" s="4">
        <v>0.0</v>
      </c>
      <c r="AW18" s="4">
        <v>0.0</v>
      </c>
      <c r="AX18" s="4">
        <v>0.0</v>
      </c>
      <c r="AY18" s="4">
        <v>0.0</v>
      </c>
      <c r="AZ18" s="4">
        <v>0.0</v>
      </c>
      <c r="BA18" s="4">
        <v>0.0</v>
      </c>
      <c r="BB18" s="4">
        <v>0.0</v>
      </c>
      <c r="BC18" s="4">
        <v>0.0</v>
      </c>
      <c r="BD18" s="66">
        <v>-100000</v>
      </c>
      <c r="BH18" s="44">
        <v>0.1503152334</v>
      </c>
      <c r="BI18" s="45">
        <v>0.1100594926</v>
      </c>
      <c r="BJ18" s="45">
        <v>0.08852856598</v>
      </c>
      <c r="BK18" s="46">
        <v>0.09735134181</v>
      </c>
      <c r="BU18" s="47">
        <f t="shared" ref="BU18:BX18" si="70">RANDBETWEEN(0.1,0.9)/100</f>
        <v>0.01</v>
      </c>
      <c r="BV18" s="48">
        <f t="shared" si="70"/>
        <v>0.01</v>
      </c>
      <c r="BW18" s="48">
        <f t="shared" si="70"/>
        <v>0.01</v>
      </c>
      <c r="BX18" s="49">
        <f t="shared" si="70"/>
        <v>0.01</v>
      </c>
      <c r="BY18" s="20"/>
      <c r="BZ18" s="20"/>
      <c r="CA18" s="20"/>
      <c r="CB18" s="20"/>
      <c r="CD18" s="5" t="s">
        <v>80</v>
      </c>
      <c r="CM18" s="5" t="s">
        <v>81</v>
      </c>
      <c r="CN18" s="80">
        <v>0.01</v>
      </c>
      <c r="CO18" s="80">
        <v>-0.02</v>
      </c>
      <c r="CP18" s="80">
        <v>0.0</v>
      </c>
      <c r="CQ18" s="80">
        <v>0.005</v>
      </c>
      <c r="CT18" s="44">
        <v>-1.4057921346472437</v>
      </c>
      <c r="CU18" s="45">
        <v>-0.7825214823929013</v>
      </c>
      <c r="CV18" s="45">
        <v>0.4485061079934622</v>
      </c>
      <c r="CW18" s="45">
        <v>-0.07770190158398849</v>
      </c>
      <c r="CX18" s="45">
        <v>0.20825119045570462</v>
      </c>
      <c r="CY18" s="45">
        <v>0.7320903851875284</v>
      </c>
      <c r="CZ18" s="45">
        <v>-0.7074223056659941</v>
      </c>
      <c r="DA18" s="45">
        <v>-0.1151339167060349</v>
      </c>
      <c r="DB18" s="45">
        <v>0.14826420723033162</v>
      </c>
      <c r="DC18" s="45">
        <v>0.9589996899813091</v>
      </c>
      <c r="DD18" s="45">
        <v>-0.21542082430170229</v>
      </c>
      <c r="DE18" s="45">
        <v>0.318177080730767</v>
      </c>
      <c r="DF18" s="45">
        <v>0.5560618028569856</v>
      </c>
      <c r="DG18" s="45">
        <v>-0.2159092760562792</v>
      </c>
      <c r="DH18" s="45">
        <v>-0.35842533528557463</v>
      </c>
      <c r="DI18" s="45">
        <v>0.09713824124784896</v>
      </c>
      <c r="DJ18" s="45">
        <v>-0.5083260545761141</v>
      </c>
      <c r="DK18" s="45">
        <v>0.9709075243435187</v>
      </c>
      <c r="DL18" s="45">
        <v>1.0771965568227113</v>
      </c>
      <c r="DM18" s="45">
        <v>0.3651203019767564</v>
      </c>
      <c r="DN18" s="45">
        <v>0.7978555428170451</v>
      </c>
      <c r="DO18" s="45">
        <v>0.3552705316998323</v>
      </c>
      <c r="DP18" s="45">
        <v>-0.17150492727060906</v>
      </c>
      <c r="DQ18" s="45">
        <v>0.10701612785156156</v>
      </c>
      <c r="DR18" s="45">
        <v>0.5891139048088203</v>
      </c>
      <c r="DS18" s="45">
        <v>-0.21382384288264722</v>
      </c>
      <c r="DT18" s="45">
        <v>0.017936619636651607</v>
      </c>
      <c r="DU18" s="46">
        <v>-0.12691611696404445</v>
      </c>
    </row>
    <row r="19">
      <c r="A19" s="5" t="s">
        <v>82</v>
      </c>
      <c r="B19" s="33">
        <f t="shared" si="18"/>
        <v>13</v>
      </c>
      <c r="D19" s="34">
        <f t="shared" si="19"/>
        <v>13</v>
      </c>
      <c r="E19" s="35">
        <f t="shared" ref="E19:H19" si="71">RANDBETWEEN(1,99)/100</f>
        <v>0.85</v>
      </c>
      <c r="F19" s="36">
        <f t="shared" si="71"/>
        <v>0.92</v>
      </c>
      <c r="G19" s="36">
        <f t="shared" si="71"/>
        <v>0.14</v>
      </c>
      <c r="H19" s="37">
        <f t="shared" si="71"/>
        <v>0.91</v>
      </c>
      <c r="AD19" s="5" t="s">
        <v>83</v>
      </c>
      <c r="AG19" s="5" t="s">
        <v>84</v>
      </c>
      <c r="AJ19" s="71">
        <v>0.007838556036</v>
      </c>
      <c r="AK19" s="72">
        <v>0.0025549208519999997</v>
      </c>
      <c r="AL19" s="72">
        <v>0.008326184771999999</v>
      </c>
      <c r="AM19" s="72">
        <v>0.008162150616</v>
      </c>
      <c r="AN19" s="72">
        <v>0.008244452773999999</v>
      </c>
      <c r="AO19" s="72">
        <v>0.0022133418879999997</v>
      </c>
      <c r="AP19" s="72">
        <v>0.008135895131999998</v>
      </c>
      <c r="AQ19" s="72">
        <v>0.007624536049999998</v>
      </c>
      <c r="AR19" s="72">
        <v>0.007902210032</v>
      </c>
      <c r="AS19" s="73">
        <v>0.002355424576</v>
      </c>
      <c r="AU19" s="81">
        <v>0.0</v>
      </c>
      <c r="AV19" s="82">
        <v>0.0</v>
      </c>
      <c r="AW19" s="82">
        <v>0.0</v>
      </c>
      <c r="AX19" s="82">
        <v>0.0</v>
      </c>
      <c r="AY19" s="82">
        <v>0.0</v>
      </c>
      <c r="AZ19" s="82">
        <v>0.0</v>
      </c>
      <c r="BA19" s="82">
        <v>0.0</v>
      </c>
      <c r="BB19" s="82">
        <v>0.0</v>
      </c>
      <c r="BC19" s="82">
        <v>0.0</v>
      </c>
      <c r="BD19" s="83">
        <v>0.0</v>
      </c>
      <c r="BH19" s="71">
        <v>0.1409913161</v>
      </c>
      <c r="BI19" s="72">
        <v>0.1018340913</v>
      </c>
      <c r="BJ19" s="72">
        <v>0.08252582954</v>
      </c>
      <c r="BK19" s="73">
        <v>0.09070494802</v>
      </c>
      <c r="BU19" s="56">
        <f t="shared" ref="BU19:BX19" si="72">RANDBETWEEN(0.1,0.9)/100</f>
        <v>0.01</v>
      </c>
      <c r="BV19" s="57">
        <f t="shared" si="72"/>
        <v>0.01</v>
      </c>
      <c r="BW19" s="57">
        <f t="shared" si="72"/>
        <v>0.01</v>
      </c>
      <c r="BX19" s="58">
        <f t="shared" si="72"/>
        <v>0.01</v>
      </c>
      <c r="BY19" s="20"/>
      <c r="BZ19" s="20"/>
      <c r="CA19" s="20"/>
      <c r="CB19" s="20"/>
      <c r="CD19" s="27">
        <f t="shared" ref="CD19:CK19" si="73">max(0,CD6)</f>
        <v>0.002937282384</v>
      </c>
      <c r="CE19" s="28">
        <f t="shared" si="73"/>
        <v>0.002937282384</v>
      </c>
      <c r="CF19" s="28">
        <f t="shared" si="73"/>
        <v>0.002937282384</v>
      </c>
      <c r="CG19" s="28">
        <f t="shared" si="73"/>
        <v>0.002937282384</v>
      </c>
      <c r="CH19" s="28">
        <f t="shared" si="73"/>
        <v>0.002937282384</v>
      </c>
      <c r="CI19" s="28">
        <f t="shared" si="73"/>
        <v>0.002937282384</v>
      </c>
      <c r="CJ19" s="28">
        <f t="shared" si="73"/>
        <v>0.002937282384</v>
      </c>
      <c r="CK19" s="29">
        <f t="shared" si="73"/>
        <v>0.002937282384</v>
      </c>
      <c r="CT19" s="44">
        <v>1.2494597397458918</v>
      </c>
      <c r="CU19" s="45">
        <v>0.7397435676264797</v>
      </c>
      <c r="CV19" s="45">
        <v>-0.6261812508087101</v>
      </c>
      <c r="CW19" s="45">
        <v>0.001977305225424164</v>
      </c>
      <c r="CX19" s="45">
        <v>-0.04596343889589255</v>
      </c>
      <c r="CY19" s="45">
        <v>-0.9154055627948177</v>
      </c>
      <c r="CZ19" s="45">
        <v>0.7786746677699499</v>
      </c>
      <c r="DA19" s="45">
        <v>0.249308632926387</v>
      </c>
      <c r="DB19" s="45">
        <v>-0.18565457106216843</v>
      </c>
      <c r="DC19" s="45">
        <v>-0.8988561054490606</v>
      </c>
      <c r="DD19" s="45">
        <v>0.1302096821839714</v>
      </c>
      <c r="DE19" s="45">
        <v>-0.24778371718012804</v>
      </c>
      <c r="DF19" s="45">
        <v>-0.3624698459456197</v>
      </c>
      <c r="DG19" s="45">
        <v>0.22144184172050935</v>
      </c>
      <c r="DH19" s="45">
        <v>0.4950756135936967</v>
      </c>
      <c r="DI19" s="45">
        <v>-0.2796666278148034</v>
      </c>
      <c r="DJ19" s="45">
        <v>0.5860800680730852</v>
      </c>
      <c r="DK19" s="45">
        <v>-1.0835675638980427</v>
      </c>
      <c r="DL19" s="45">
        <v>-1.1269592218344981</v>
      </c>
      <c r="DM19" s="45">
        <v>-0.033143506188955785</v>
      </c>
      <c r="DN19" s="45">
        <v>-0.507592002708972</v>
      </c>
      <c r="DO19" s="45">
        <v>-0.003723163805784968</v>
      </c>
      <c r="DP19" s="45">
        <v>-0.022891939240643727</v>
      </c>
      <c r="DQ19" s="45">
        <v>-0.3226945007697984</v>
      </c>
      <c r="DR19" s="45">
        <v>-0.3151722147755069</v>
      </c>
      <c r="DS19" s="45">
        <v>0.5997470331593968</v>
      </c>
      <c r="DT19" s="45">
        <v>-0.017986317211248493</v>
      </c>
      <c r="DU19" s="46">
        <v>0.1383509628404816</v>
      </c>
    </row>
    <row r="20">
      <c r="A20" s="5" t="s">
        <v>85</v>
      </c>
      <c r="B20" s="33">
        <f t="shared" si="18"/>
        <v>14</v>
      </c>
      <c r="D20" s="34">
        <f t="shared" si="19"/>
        <v>14</v>
      </c>
      <c r="E20" s="35">
        <f t="shared" ref="E20:H20" si="74">RANDBETWEEN(1,99)/100</f>
        <v>0.71</v>
      </c>
      <c r="F20" s="36">
        <f t="shared" si="74"/>
        <v>0.61</v>
      </c>
      <c r="G20" s="36">
        <f t="shared" si="74"/>
        <v>0.72</v>
      </c>
      <c r="H20" s="37">
        <f t="shared" si="74"/>
        <v>0.14</v>
      </c>
      <c r="AD20" s="24">
        <f t="shared" ref="AD20:AE20" si="75">RANDBETWEEN(1,90)/1000</f>
        <v>0.034</v>
      </c>
      <c r="AE20" s="26">
        <f t="shared" si="75"/>
        <v>0.076</v>
      </c>
      <c r="AG20" s="84">
        <f t="array" ref="AG20:AH29">MMULT($Y$6:$AB$15,AD20:AE23)</f>
        <v>0.120022</v>
      </c>
      <c r="AH20" s="85">
        <v>0.16214</v>
      </c>
      <c r="CD20" s="50">
        <f t="shared" ref="CD20:CK20" si="76">max(0,CD7)</f>
        <v>0.003561515066</v>
      </c>
      <c r="CE20" s="51">
        <f t="shared" si="76"/>
        <v>0.003561515066</v>
      </c>
      <c r="CF20" s="51">
        <f t="shared" si="76"/>
        <v>0.003561515066</v>
      </c>
      <c r="CG20" s="51">
        <f t="shared" si="76"/>
        <v>0.003561515066</v>
      </c>
      <c r="CH20" s="51">
        <f t="shared" si="76"/>
        <v>0.003561515066</v>
      </c>
      <c r="CI20" s="51">
        <f t="shared" si="76"/>
        <v>0.003561515066</v>
      </c>
      <c r="CJ20" s="51">
        <f t="shared" si="76"/>
        <v>0.003561515066</v>
      </c>
      <c r="CK20" s="52">
        <f t="shared" si="76"/>
        <v>0.003561515066</v>
      </c>
      <c r="CM20" s="5" t="s">
        <v>86</v>
      </c>
      <c r="CT20" s="44">
        <v>0.08715619482750556</v>
      </c>
      <c r="CU20" s="45">
        <v>1.0624075311637429</v>
      </c>
      <c r="CV20" s="45">
        <v>0.019145213732838867</v>
      </c>
      <c r="CW20" s="45">
        <v>-0.3520910878349224</v>
      </c>
      <c r="CX20" s="45">
        <v>-0.16261526085602512</v>
      </c>
      <c r="CY20" s="45">
        <v>-0.4845808840670097</v>
      </c>
      <c r="CZ20" s="45">
        <v>-0.1810982846110734</v>
      </c>
      <c r="DA20" s="45">
        <v>-1.4451021635162504</v>
      </c>
      <c r="DB20" s="45">
        <v>-0.42064727607446023</v>
      </c>
      <c r="DC20" s="45">
        <v>-0.15977994008926016</v>
      </c>
      <c r="DD20" s="45">
        <v>-0.21740079682867924</v>
      </c>
      <c r="DE20" s="45">
        <v>-0.15336461461173745</v>
      </c>
      <c r="DF20" s="45">
        <v>0.06632679616389736</v>
      </c>
      <c r="DG20" s="45">
        <v>0.14589450590484992</v>
      </c>
      <c r="DH20" s="45">
        <v>0.26728924771084556</v>
      </c>
      <c r="DI20" s="45">
        <v>0.10903457469415057</v>
      </c>
      <c r="DJ20" s="45">
        <v>0.9643609648783944</v>
      </c>
      <c r="DK20" s="45">
        <v>0.5841537796946144</v>
      </c>
      <c r="DL20" s="45">
        <v>0.8677886104678416</v>
      </c>
      <c r="DM20" s="45">
        <v>1.0745059897646623</v>
      </c>
      <c r="DN20" s="45">
        <v>0.4906282907735233</v>
      </c>
      <c r="DO20" s="45">
        <v>0.30159417849235814</v>
      </c>
      <c r="DP20" s="45">
        <v>-0.3889259417868058</v>
      </c>
      <c r="DQ20" s="45">
        <v>-0.06981369906807339</v>
      </c>
      <c r="DR20" s="45">
        <v>0.6481833739315204</v>
      </c>
      <c r="DS20" s="45">
        <v>0.9194229776293552</v>
      </c>
      <c r="DT20" s="45">
        <v>-0.05963020889506479</v>
      </c>
      <c r="DU20" s="46">
        <v>-0.21415663779448424</v>
      </c>
    </row>
    <row r="21">
      <c r="A21" s="5" t="s">
        <v>87</v>
      </c>
      <c r="B21" s="33">
        <f t="shared" si="18"/>
        <v>15</v>
      </c>
      <c r="D21" s="34">
        <f t="shared" si="19"/>
        <v>15</v>
      </c>
      <c r="E21" s="35">
        <f t="shared" ref="E21:H21" si="77">RANDBETWEEN(1,99)/100</f>
        <v>0.65</v>
      </c>
      <c r="F21" s="36">
        <f t="shared" si="77"/>
        <v>0.01</v>
      </c>
      <c r="G21" s="36">
        <f t="shared" si="77"/>
        <v>0.77</v>
      </c>
      <c r="H21" s="37">
        <f t="shared" si="77"/>
        <v>0.25</v>
      </c>
      <c r="AD21" s="47">
        <f t="shared" ref="AD21:AE21" si="78">RANDBETWEEN(1,90)/1000</f>
        <v>0.05</v>
      </c>
      <c r="AE21" s="49">
        <f t="shared" si="78"/>
        <v>0.036</v>
      </c>
      <c r="AG21" s="86">
        <v>0.040966</v>
      </c>
      <c r="AH21" s="87">
        <v>0.051331999999999996</v>
      </c>
      <c r="CD21" s="50">
        <f t="shared" ref="CD21:CK21" si="79">max(0,CD8)</f>
        <v>0</v>
      </c>
      <c r="CE21" s="51">
        <f t="shared" si="79"/>
        <v>0</v>
      </c>
      <c r="CF21" s="51">
        <f t="shared" si="79"/>
        <v>0</v>
      </c>
      <c r="CG21" s="51">
        <f t="shared" si="79"/>
        <v>0</v>
      </c>
      <c r="CH21" s="51">
        <f t="shared" si="79"/>
        <v>0</v>
      </c>
      <c r="CI21" s="51">
        <f t="shared" si="79"/>
        <v>0</v>
      </c>
      <c r="CJ21" s="51">
        <f t="shared" si="79"/>
        <v>0</v>
      </c>
      <c r="CK21" s="52">
        <f t="shared" si="79"/>
        <v>0</v>
      </c>
      <c r="CM21" s="30">
        <f t="shared" ref="CM21:CP21" si="80">CN$17*((CM6-AVERAGE($CM6:$CP6))/(sqrt(VARP($CM6:$CP6)+0.00001)))+CN$18</f>
        <v>1.03108328</v>
      </c>
      <c r="CN21" s="31">
        <f t="shared" si="80"/>
        <v>0.9718903507</v>
      </c>
      <c r="CO21" s="31">
        <f t="shared" si="80"/>
        <v>-1.31073283</v>
      </c>
      <c r="CP21" s="32">
        <f t="shared" si="80"/>
        <v>-0.3862887614</v>
      </c>
      <c r="CT21" s="71">
        <v>0.550330662494807</v>
      </c>
      <c r="CU21" s="72">
        <v>1.298189451456371</v>
      </c>
      <c r="CV21" s="72">
        <v>-0.15897712208296136</v>
      </c>
      <c r="CW21" s="72">
        <v>-0.32542677662692643</v>
      </c>
      <c r="CX21" s="72">
        <v>-0.20956850839882502</v>
      </c>
      <c r="CY21" s="72">
        <v>-0.747695484146093</v>
      </c>
      <c r="CZ21" s="72">
        <v>0.07712650690151857</v>
      </c>
      <c r="DA21" s="72">
        <v>-1.3489558938372677</v>
      </c>
      <c r="DB21" s="72">
        <v>-0.46529678016677123</v>
      </c>
      <c r="DC21" s="72">
        <v>-0.4790807687770798</v>
      </c>
      <c r="DD21" s="72">
        <v>-0.1479744097317572</v>
      </c>
      <c r="DE21" s="72">
        <v>-0.2501842667898605</v>
      </c>
      <c r="DF21" s="72">
        <v>-0.10297285946840978</v>
      </c>
      <c r="DG21" s="72">
        <v>0.21703321983706425</v>
      </c>
      <c r="DH21" s="72">
        <v>0.40109076849846315</v>
      </c>
      <c r="DI21" s="72">
        <v>0.04922166020779459</v>
      </c>
      <c r="DJ21" s="72">
        <v>1.1234067791511664</v>
      </c>
      <c r="DK21" s="72">
        <v>0.21847842761066616</v>
      </c>
      <c r="DL21" s="72">
        <v>0.46566209824913385</v>
      </c>
      <c r="DM21" s="72">
        <v>0.9612531494333295</v>
      </c>
      <c r="DN21" s="72">
        <v>0.23854476920317724</v>
      </c>
      <c r="DO21" s="72">
        <v>0.21533985285289392</v>
      </c>
      <c r="DP21" s="72">
        <v>-0.3439625304535575</v>
      </c>
      <c r="DQ21" s="72">
        <v>-0.13247593943713076</v>
      </c>
      <c r="DR21" s="72">
        <v>0.4618096896042617</v>
      </c>
      <c r="DS21" s="72">
        <v>1.0172462529453574</v>
      </c>
      <c r="DT21" s="72">
        <v>-0.06427228671368174</v>
      </c>
      <c r="DU21" s="73">
        <v>-0.16306568470734834</v>
      </c>
    </row>
    <row r="22">
      <c r="A22" s="5" t="s">
        <v>88</v>
      </c>
      <c r="B22" s="33">
        <f t="shared" si="18"/>
        <v>16</v>
      </c>
      <c r="D22" s="34">
        <f t="shared" si="19"/>
        <v>16</v>
      </c>
      <c r="E22" s="35">
        <f t="shared" ref="E22:H22" si="81">RANDBETWEEN(1,99)/100</f>
        <v>0.34</v>
      </c>
      <c r="F22" s="36">
        <f t="shared" si="81"/>
        <v>0.56</v>
      </c>
      <c r="G22" s="36">
        <f t="shared" si="81"/>
        <v>0.57</v>
      </c>
      <c r="H22" s="37">
        <f t="shared" si="81"/>
        <v>0.06</v>
      </c>
      <c r="AD22" s="47">
        <f t="shared" ref="AD22:AE22" si="82">RANDBETWEEN(1,90)/1000</f>
        <v>0.089</v>
      </c>
      <c r="AE22" s="49">
        <f t="shared" si="82"/>
        <v>0.09</v>
      </c>
      <c r="AG22" s="86">
        <v>0.11735000000000001</v>
      </c>
      <c r="AH22" s="87">
        <v>0.180556</v>
      </c>
      <c r="AJ22" s="5" t="s">
        <v>89</v>
      </c>
      <c r="AU22" s="5" t="s">
        <v>90</v>
      </c>
      <c r="CD22" s="50">
        <f t="shared" ref="CD22:CK22" si="83">max(0,CD9)</f>
        <v>0.002362651197</v>
      </c>
      <c r="CE22" s="51">
        <f t="shared" si="83"/>
        <v>0.002362651197</v>
      </c>
      <c r="CF22" s="51">
        <f t="shared" si="83"/>
        <v>0.002362651197</v>
      </c>
      <c r="CG22" s="51">
        <f t="shared" si="83"/>
        <v>0.002362651197</v>
      </c>
      <c r="CH22" s="51">
        <f t="shared" si="83"/>
        <v>0.002362651197</v>
      </c>
      <c r="CI22" s="51">
        <f t="shared" si="83"/>
        <v>0.002362651197</v>
      </c>
      <c r="CJ22" s="51">
        <f t="shared" si="83"/>
        <v>0.002362651197</v>
      </c>
      <c r="CK22" s="52">
        <f t="shared" si="83"/>
        <v>0.002362651197</v>
      </c>
      <c r="CM22" s="53">
        <f t="shared" ref="CM22:CP22" si="84">CN$17*((CM7-AVERAGE($CM7:$CP7))/(sqrt(VARP($CM7:$CP7)+0.00001)))+CN$18</f>
        <v>0.546984707</v>
      </c>
      <c r="CN22" s="54">
        <f t="shared" si="84"/>
        <v>1.628225849</v>
      </c>
      <c r="CO22" s="54">
        <f t="shared" si="84"/>
        <v>-0.8560733998</v>
      </c>
      <c r="CP22" s="55">
        <f t="shared" si="84"/>
        <v>-0.9543135811</v>
      </c>
    </row>
    <row r="23">
      <c r="A23" s="5" t="s">
        <v>91</v>
      </c>
      <c r="B23" s="33">
        <f t="shared" si="18"/>
        <v>17</v>
      </c>
      <c r="D23" s="34">
        <f t="shared" si="19"/>
        <v>17</v>
      </c>
      <c r="E23" s="35">
        <f t="shared" ref="E23:H23" si="85">RANDBETWEEN(1,99)/100</f>
        <v>0.65</v>
      </c>
      <c r="F23" s="36">
        <f t="shared" si="85"/>
        <v>0.84</v>
      </c>
      <c r="G23" s="36">
        <f t="shared" si="85"/>
        <v>0.24</v>
      </c>
      <c r="H23" s="37">
        <f t="shared" si="85"/>
        <v>0.59</v>
      </c>
      <c r="AD23" s="56">
        <f t="shared" ref="AD23:AE23" si="86">RANDBETWEEN(1,90)/1000</f>
        <v>0.014</v>
      </c>
      <c r="AE23" s="58">
        <f t="shared" si="86"/>
        <v>0.044</v>
      </c>
      <c r="AG23" s="86">
        <v>0.1253</v>
      </c>
      <c r="AH23" s="87">
        <v>0.168568</v>
      </c>
      <c r="AJ23" s="84">
        <f t="shared" ref="AJ23:AS23" si="87">AJ10/SQRT(2)</f>
        <v>0.01922718395</v>
      </c>
      <c r="AK23" s="88">
        <f t="shared" si="87"/>
        <v>0.006294835375</v>
      </c>
      <c r="AL23" s="88">
        <f t="shared" si="87"/>
        <v>0.0202701789</v>
      </c>
      <c r="AM23" s="88">
        <f t="shared" si="87"/>
        <v>0.0200258096</v>
      </c>
      <c r="AN23" s="88">
        <f t="shared" si="87"/>
        <v>0.02023144594</v>
      </c>
      <c r="AO23" s="88">
        <f t="shared" si="87"/>
        <v>0.005460845426</v>
      </c>
      <c r="AP23" s="88">
        <f t="shared" si="87"/>
        <v>0.01981135621</v>
      </c>
      <c r="AQ23" s="88">
        <f t="shared" si="87"/>
        <v>0.01897093656</v>
      </c>
      <c r="AR23" s="88">
        <f t="shared" si="87"/>
        <v>0.01940656767</v>
      </c>
      <c r="AS23" s="85">
        <f t="shared" si="87"/>
        <v>0.005811179117</v>
      </c>
      <c r="AU23" s="21">
        <f t="shared" ref="AU23:BD23" si="88">AJ23+AU10</f>
        <v>0.01922718395</v>
      </c>
      <c r="AV23" s="22">
        <f t="shared" si="88"/>
        <v>-99999.99371</v>
      </c>
      <c r="AW23" s="22">
        <f t="shared" si="88"/>
        <v>-99999.97973</v>
      </c>
      <c r="AX23" s="22">
        <f t="shared" si="88"/>
        <v>-99999.97997</v>
      </c>
      <c r="AY23" s="22">
        <f t="shared" si="88"/>
        <v>-99999.97977</v>
      </c>
      <c r="AZ23" s="22">
        <f t="shared" si="88"/>
        <v>-99999.99454</v>
      </c>
      <c r="BA23" s="22">
        <f t="shared" si="88"/>
        <v>-99999.98019</v>
      </c>
      <c r="BB23" s="22">
        <f t="shared" si="88"/>
        <v>-99999.98103</v>
      </c>
      <c r="BC23" s="22">
        <f t="shared" si="88"/>
        <v>-99999.98059</v>
      </c>
      <c r="BD23" s="23">
        <f t="shared" si="88"/>
        <v>-99999.99419</v>
      </c>
      <c r="CD23" s="50">
        <f t="shared" ref="CD23:CK23" si="89">max(0,CD10)</f>
        <v>0.002713814965</v>
      </c>
      <c r="CE23" s="51">
        <f t="shared" si="89"/>
        <v>0.002713814965</v>
      </c>
      <c r="CF23" s="51">
        <f t="shared" si="89"/>
        <v>0.002713814965</v>
      </c>
      <c r="CG23" s="51">
        <f t="shared" si="89"/>
        <v>0.002713814965</v>
      </c>
      <c r="CH23" s="51">
        <f t="shared" si="89"/>
        <v>0.002713814965</v>
      </c>
      <c r="CI23" s="51">
        <f t="shared" si="89"/>
        <v>0.002713814965</v>
      </c>
      <c r="CJ23" s="51">
        <f t="shared" si="89"/>
        <v>0.002713814965</v>
      </c>
      <c r="CK23" s="52">
        <f t="shared" si="89"/>
        <v>0.002713814965</v>
      </c>
      <c r="CM23" s="53">
        <f t="shared" ref="CM23:CP23" si="90">CN$17*((CM8-AVERAGE($CM8:$CP8))/(sqrt(VARP($CM8:$CP8)+0.00001)))+CN$18</f>
        <v>1.00389293</v>
      </c>
      <c r="CN23" s="54">
        <f t="shared" si="90"/>
        <v>-1.272156135</v>
      </c>
      <c r="CO23" s="54">
        <f t="shared" si="90"/>
        <v>-0.8599903177</v>
      </c>
      <c r="CP23" s="55">
        <f t="shared" si="90"/>
        <v>1.010115313</v>
      </c>
      <c r="CT23" s="5" t="s">
        <v>92</v>
      </c>
    </row>
    <row r="24">
      <c r="A24" s="5" t="s">
        <v>93</v>
      </c>
      <c r="B24" s="33">
        <f t="shared" si="18"/>
        <v>18</v>
      </c>
      <c r="D24" s="34">
        <f t="shared" si="19"/>
        <v>18</v>
      </c>
      <c r="E24" s="35">
        <f t="shared" ref="E24:H24" si="91">RANDBETWEEN(1,99)/100</f>
        <v>0.18</v>
      </c>
      <c r="F24" s="36">
        <f t="shared" si="91"/>
        <v>0.87</v>
      </c>
      <c r="G24" s="36">
        <f t="shared" si="91"/>
        <v>0.47</v>
      </c>
      <c r="H24" s="37">
        <f t="shared" si="91"/>
        <v>0.85</v>
      </c>
      <c r="AG24" s="86">
        <v>0.126809</v>
      </c>
      <c r="AH24" s="87">
        <v>0.170066</v>
      </c>
      <c r="AJ24" s="86">
        <f t="shared" ref="AJ24:AS24" si="92">AJ11/SQRT(2)</f>
        <v>0.005831859563</v>
      </c>
      <c r="AK24" s="89">
        <f t="shared" si="92"/>
        <v>0.001906073385</v>
      </c>
      <c r="AL24" s="89">
        <f t="shared" si="92"/>
        <v>0.006165975788</v>
      </c>
      <c r="AM24" s="89">
        <f t="shared" si="92"/>
        <v>0.006073527069</v>
      </c>
      <c r="AN24" s="89">
        <f t="shared" si="92"/>
        <v>0.006135463392</v>
      </c>
      <c r="AO24" s="89">
        <f t="shared" si="92"/>
        <v>0.001652664388</v>
      </c>
      <c r="AP24" s="89">
        <f t="shared" si="92"/>
        <v>0.006025887848</v>
      </c>
      <c r="AQ24" s="89">
        <f t="shared" si="92"/>
        <v>0.005722962123</v>
      </c>
      <c r="AR24" s="89">
        <f t="shared" si="92"/>
        <v>0.005883572166</v>
      </c>
      <c r="AS24" s="87">
        <f t="shared" si="92"/>
        <v>0.001758714187</v>
      </c>
      <c r="AU24" s="44">
        <f t="shared" ref="AU24:BD24" si="93">AJ24+AU11</f>
        <v>0.005831859563</v>
      </c>
      <c r="AV24" s="45">
        <f t="shared" si="93"/>
        <v>0.001906073385</v>
      </c>
      <c r="AW24" s="45">
        <f t="shared" si="93"/>
        <v>-99999.99383</v>
      </c>
      <c r="AX24" s="45">
        <f t="shared" si="93"/>
        <v>-99999.99393</v>
      </c>
      <c r="AY24" s="45">
        <f t="shared" si="93"/>
        <v>-99999.99386</v>
      </c>
      <c r="AZ24" s="45">
        <f t="shared" si="93"/>
        <v>-99999.99835</v>
      </c>
      <c r="BA24" s="45">
        <f t="shared" si="93"/>
        <v>-99999.99397</v>
      </c>
      <c r="BB24" s="45">
        <f t="shared" si="93"/>
        <v>-99999.99428</v>
      </c>
      <c r="BC24" s="45">
        <f t="shared" si="93"/>
        <v>-99999.99412</v>
      </c>
      <c r="BD24" s="46">
        <f t="shared" si="93"/>
        <v>-99999.99824</v>
      </c>
      <c r="CD24" s="50">
        <f t="shared" ref="CD24:CK24" si="94">max(0,CD11)</f>
        <v>0.003983582385</v>
      </c>
      <c r="CE24" s="51">
        <f t="shared" si="94"/>
        <v>0.003983582385</v>
      </c>
      <c r="CF24" s="51">
        <f t="shared" si="94"/>
        <v>0.003983582385</v>
      </c>
      <c r="CG24" s="51">
        <f t="shared" si="94"/>
        <v>0.003983582385</v>
      </c>
      <c r="CH24" s="51">
        <f t="shared" si="94"/>
        <v>0.003983582385</v>
      </c>
      <c r="CI24" s="51">
        <f t="shared" si="94"/>
        <v>0.003983582385</v>
      </c>
      <c r="CJ24" s="51">
        <f t="shared" si="94"/>
        <v>0.003983582385</v>
      </c>
      <c r="CK24" s="52">
        <f t="shared" si="94"/>
        <v>0.003983582385</v>
      </c>
      <c r="CM24" s="53">
        <f t="shared" ref="CM24:CP24" si="95">CN$17*((CM9-AVERAGE($CM9:$CP9))/(sqrt(VARP($CM9:$CP9)+0.00001)))+CN$18</f>
        <v>1.294125389</v>
      </c>
      <c r="CN24" s="54">
        <f t="shared" si="95"/>
        <v>0.7076691364</v>
      </c>
      <c r="CO24" s="54">
        <f t="shared" si="95"/>
        <v>-1.132652117</v>
      </c>
      <c r="CP24" s="55">
        <f t="shared" si="95"/>
        <v>-0.6270139839</v>
      </c>
      <c r="CT24" s="30">
        <f t="shared" ref="CT24:DU24" si="96">EXP(CT12)/SUMPRODUCT(EXP($CT12:$DU12))</f>
        <v>0.02269561299</v>
      </c>
      <c r="CU24" s="31">
        <f t="shared" si="96"/>
        <v>0.06459134228</v>
      </c>
      <c r="CV24" s="31">
        <f t="shared" si="96"/>
        <v>0.03185320511</v>
      </c>
      <c r="CW24" s="31">
        <f t="shared" si="96"/>
        <v>0.01949990614</v>
      </c>
      <c r="CX24" s="31">
        <f t="shared" si="96"/>
        <v>0.02367108811</v>
      </c>
      <c r="CY24" s="31">
        <f t="shared" si="96"/>
        <v>0.02091146007</v>
      </c>
      <c r="CZ24" s="31">
        <f t="shared" si="96"/>
        <v>0.01945471631</v>
      </c>
      <c r="DA24" s="31">
        <f t="shared" si="96"/>
        <v>0.006492667267</v>
      </c>
      <c r="DB24" s="31">
        <f t="shared" si="96"/>
        <v>0.01901773129</v>
      </c>
      <c r="DC24" s="31">
        <f t="shared" si="96"/>
        <v>0.02850598574</v>
      </c>
      <c r="DD24" s="31">
        <f t="shared" si="96"/>
        <v>0.02158511778</v>
      </c>
      <c r="DE24" s="31">
        <f t="shared" si="96"/>
        <v>0.02492918641</v>
      </c>
      <c r="DF24" s="31">
        <f t="shared" si="96"/>
        <v>0.03157377862</v>
      </c>
      <c r="DG24" s="31">
        <f t="shared" si="96"/>
        <v>0.02999922092</v>
      </c>
      <c r="DH24" s="31">
        <f t="shared" si="96"/>
        <v>0.03180742839</v>
      </c>
      <c r="DI24" s="31">
        <f t="shared" si="96"/>
        <v>0.03222177244</v>
      </c>
      <c r="DJ24" s="31">
        <f t="shared" si="96"/>
        <v>0.06082474555</v>
      </c>
      <c r="DK24" s="31">
        <f t="shared" si="96"/>
        <v>0.06046187465</v>
      </c>
      <c r="DL24" s="31">
        <f t="shared" si="96"/>
        <v>0.08014088301</v>
      </c>
      <c r="DM24" s="31">
        <f t="shared" si="96"/>
        <v>0.07740482095</v>
      </c>
      <c r="DN24" s="31">
        <f t="shared" si="96"/>
        <v>0.04896846969</v>
      </c>
      <c r="DO24" s="31">
        <f t="shared" si="96"/>
        <v>0.03666366062</v>
      </c>
      <c r="DP24" s="31">
        <f t="shared" si="96"/>
        <v>0.01890755003</v>
      </c>
      <c r="DQ24" s="31">
        <f t="shared" si="96"/>
        <v>0.02738457581</v>
      </c>
      <c r="DR24" s="31">
        <f t="shared" si="96"/>
        <v>0.05463233489</v>
      </c>
      <c r="DS24" s="31">
        <f t="shared" si="96"/>
        <v>0.05822804896</v>
      </c>
      <c r="DT24" s="31">
        <f t="shared" si="96"/>
        <v>0.02594182662</v>
      </c>
      <c r="DU24" s="32">
        <f t="shared" si="96"/>
        <v>0.02163098934</v>
      </c>
    </row>
    <row r="25">
      <c r="A25" s="5" t="s">
        <v>62</v>
      </c>
      <c r="B25" s="33">
        <f t="shared" si="18"/>
        <v>19</v>
      </c>
      <c r="D25" s="34">
        <f t="shared" si="19"/>
        <v>19</v>
      </c>
      <c r="E25" s="35">
        <f t="shared" ref="E25:H25" si="97">RANDBETWEEN(1,99)/100</f>
        <v>0.91</v>
      </c>
      <c r="F25" s="36">
        <f t="shared" si="97"/>
        <v>0.46</v>
      </c>
      <c r="G25" s="36">
        <f t="shared" si="97"/>
        <v>0.48</v>
      </c>
      <c r="H25" s="37">
        <f t="shared" si="97"/>
        <v>0.94</v>
      </c>
      <c r="AG25" s="86">
        <v>0.035991999999999996</v>
      </c>
      <c r="AH25" s="87">
        <v>0.044056</v>
      </c>
      <c r="AJ25" s="86">
        <f t="shared" ref="AJ25:AS25" si="98">AJ12/SQRT(2)</f>
        <v>0.02309309334</v>
      </c>
      <c r="AK25" s="89">
        <f t="shared" si="98"/>
        <v>0.00757724183</v>
      </c>
      <c r="AL25" s="89">
        <f t="shared" si="98"/>
        <v>0.02425386208</v>
      </c>
      <c r="AM25" s="89">
        <f t="shared" si="98"/>
        <v>0.02405522527</v>
      </c>
      <c r="AN25" s="89">
        <f t="shared" si="98"/>
        <v>0.02430446405</v>
      </c>
      <c r="AO25" s="89">
        <f t="shared" si="98"/>
        <v>0.00657788885</v>
      </c>
      <c r="AP25" s="89">
        <f t="shared" si="98"/>
        <v>0.02370755308</v>
      </c>
      <c r="AQ25" s="89">
        <f t="shared" si="98"/>
        <v>0.02294668032</v>
      </c>
      <c r="AR25" s="89">
        <f t="shared" si="98"/>
        <v>0.02332250364</v>
      </c>
      <c r="AS25" s="87">
        <f t="shared" si="98"/>
        <v>0.00699975469</v>
      </c>
      <c r="AU25" s="44">
        <f t="shared" ref="AU25:BD25" si="99">AJ25+AU12</f>
        <v>0.02309309334</v>
      </c>
      <c r="AV25" s="45">
        <f t="shared" si="99"/>
        <v>0.00757724183</v>
      </c>
      <c r="AW25" s="45">
        <f t="shared" si="99"/>
        <v>0.02425386208</v>
      </c>
      <c r="AX25" s="45">
        <f t="shared" si="99"/>
        <v>-99999.97594</v>
      </c>
      <c r="AY25" s="45">
        <f t="shared" si="99"/>
        <v>-99999.9757</v>
      </c>
      <c r="AZ25" s="45">
        <f t="shared" si="99"/>
        <v>-99999.99342</v>
      </c>
      <c r="BA25" s="45">
        <f t="shared" si="99"/>
        <v>-99999.97629</v>
      </c>
      <c r="BB25" s="45">
        <f t="shared" si="99"/>
        <v>-99999.97705</v>
      </c>
      <c r="BC25" s="45">
        <f t="shared" si="99"/>
        <v>-99999.97668</v>
      </c>
      <c r="BD25" s="46">
        <f t="shared" si="99"/>
        <v>-99999.993</v>
      </c>
      <c r="CD25" s="50">
        <f t="shared" ref="CD25:CK25" si="100">max(0,CD12)</f>
        <v>0</v>
      </c>
      <c r="CE25" s="51">
        <f t="shared" si="100"/>
        <v>0</v>
      </c>
      <c r="CF25" s="51">
        <f t="shared" si="100"/>
        <v>0</v>
      </c>
      <c r="CG25" s="51">
        <f t="shared" si="100"/>
        <v>0</v>
      </c>
      <c r="CH25" s="51">
        <f t="shared" si="100"/>
        <v>0</v>
      </c>
      <c r="CI25" s="51">
        <f t="shared" si="100"/>
        <v>0</v>
      </c>
      <c r="CJ25" s="51">
        <f t="shared" si="100"/>
        <v>0</v>
      </c>
      <c r="CK25" s="52">
        <f t="shared" si="100"/>
        <v>0</v>
      </c>
      <c r="CM25" s="53">
        <f t="shared" ref="CM25:CP25" si="101">CN$17*((CM10-AVERAGE($CM10:$CP10))/(sqrt(VARP($CM10:$CP10)+0.00001)))+CN$18</f>
        <v>1.152723141</v>
      </c>
      <c r="CN25" s="54">
        <f t="shared" si="101"/>
        <v>0.8898671025</v>
      </c>
      <c r="CO25" s="54">
        <f t="shared" si="101"/>
        <v>-1.211149378</v>
      </c>
      <c r="CP25" s="55">
        <f t="shared" si="101"/>
        <v>-0.5502241954</v>
      </c>
      <c r="CT25" s="53">
        <f t="shared" ref="CT25:DU25" si="102">EXP(CT13)/SUMPRODUCT(EXP($CT13:$DU13))</f>
        <v>0.04988783012</v>
      </c>
      <c r="CU25" s="54">
        <f t="shared" si="102"/>
        <v>0.1033757546</v>
      </c>
      <c r="CV25" s="54">
        <f t="shared" si="102"/>
        <v>0.02694796141</v>
      </c>
      <c r="CW25" s="54">
        <f t="shared" si="102"/>
        <v>0.0212781066</v>
      </c>
      <c r="CX25" s="54">
        <f t="shared" si="102"/>
        <v>0.02181756837</v>
      </c>
      <c r="CY25" s="54">
        <f t="shared" si="102"/>
        <v>0.01516489919</v>
      </c>
      <c r="CZ25" s="54">
        <f t="shared" si="102"/>
        <v>0.02901273676</v>
      </c>
      <c r="DA25" s="54">
        <f t="shared" si="102"/>
        <v>0.006946858733</v>
      </c>
      <c r="DB25" s="54">
        <f t="shared" si="102"/>
        <v>0.01837495163</v>
      </c>
      <c r="DC25" s="54">
        <f t="shared" si="102"/>
        <v>0.01803388005</v>
      </c>
      <c r="DD25" s="54">
        <f t="shared" si="102"/>
        <v>0.02537763968</v>
      </c>
      <c r="DE25" s="54">
        <f t="shared" si="102"/>
        <v>0.02192740014</v>
      </c>
      <c r="DF25" s="54">
        <f t="shared" si="102"/>
        <v>0.02434079806</v>
      </c>
      <c r="DG25" s="54">
        <f t="shared" si="102"/>
        <v>0.03513374025</v>
      </c>
      <c r="DH25" s="54">
        <f t="shared" si="102"/>
        <v>0.03964509962</v>
      </c>
      <c r="DI25" s="54">
        <f t="shared" si="102"/>
        <v>0.03274115289</v>
      </c>
      <c r="DJ25" s="54">
        <f t="shared" si="102"/>
        <v>0.08331600952</v>
      </c>
      <c r="DK25" s="54">
        <f t="shared" si="102"/>
        <v>0.03916774746</v>
      </c>
      <c r="DL25" s="54">
        <f t="shared" si="102"/>
        <v>0.04904902706</v>
      </c>
      <c r="DM25" s="54">
        <f t="shared" si="102"/>
        <v>0.0659616238</v>
      </c>
      <c r="DN25" s="54">
        <f t="shared" si="102"/>
        <v>0.03321966707</v>
      </c>
      <c r="DO25" s="54">
        <f t="shared" si="102"/>
        <v>0.03095892822</v>
      </c>
      <c r="DP25" s="54">
        <f t="shared" si="102"/>
        <v>0.02190770775</v>
      </c>
      <c r="DQ25" s="54">
        <f t="shared" si="102"/>
        <v>0.02768411281</v>
      </c>
      <c r="DR25" s="54">
        <f t="shared" si="102"/>
        <v>0.04144400308</v>
      </c>
      <c r="DS25" s="54">
        <f t="shared" si="102"/>
        <v>0.06635139895</v>
      </c>
      <c r="DT25" s="54">
        <f t="shared" si="102"/>
        <v>0.02687285005</v>
      </c>
      <c r="DU25" s="55">
        <f t="shared" si="102"/>
        <v>0.02406054611</v>
      </c>
    </row>
    <row r="26">
      <c r="A26" s="5" t="s">
        <v>94</v>
      </c>
      <c r="B26" s="33">
        <f t="shared" si="18"/>
        <v>20</v>
      </c>
      <c r="D26" s="34">
        <f t="shared" si="19"/>
        <v>20</v>
      </c>
      <c r="E26" s="35">
        <f t="shared" ref="E26:H26" si="103">RANDBETWEEN(1,99)/100</f>
        <v>0.01</v>
      </c>
      <c r="F26" s="36">
        <f t="shared" si="103"/>
        <v>0.02</v>
      </c>
      <c r="G26" s="36">
        <f t="shared" si="103"/>
        <v>0.7</v>
      </c>
      <c r="H26" s="37">
        <f t="shared" si="103"/>
        <v>0.96</v>
      </c>
      <c r="AG26" s="86">
        <v>0.11496200000000001</v>
      </c>
      <c r="AH26" s="87">
        <v>0.17618799999999998</v>
      </c>
      <c r="AJ26" s="86">
        <f t="shared" ref="AJ26:AS26" si="104">AJ13/SQRT(2)</f>
        <v>0.01940038782</v>
      </c>
      <c r="AK26" s="89">
        <f t="shared" si="104"/>
        <v>0.0063544071</v>
      </c>
      <c r="AL26" s="89">
        <f t="shared" si="104"/>
        <v>0.02043703488</v>
      </c>
      <c r="AM26" s="89">
        <f t="shared" si="104"/>
        <v>0.02020670959</v>
      </c>
      <c r="AN26" s="89">
        <f t="shared" si="104"/>
        <v>0.02041458473</v>
      </c>
      <c r="AO26" s="89">
        <f t="shared" si="104"/>
        <v>0.005513302132</v>
      </c>
      <c r="AP26" s="89">
        <f t="shared" si="104"/>
        <v>0.01997489527</v>
      </c>
      <c r="AQ26" s="89">
        <f t="shared" si="104"/>
        <v>0.01916946349</v>
      </c>
      <c r="AR26" s="89">
        <f t="shared" si="104"/>
        <v>0.01958377785</v>
      </c>
      <c r="AS26" s="87">
        <f t="shared" si="104"/>
        <v>0.005866978791</v>
      </c>
      <c r="AU26" s="44">
        <f t="shared" ref="AU26:BD26" si="105">AJ26+AU13</f>
        <v>0.01940038782</v>
      </c>
      <c r="AV26" s="45">
        <f t="shared" si="105"/>
        <v>0.0063544071</v>
      </c>
      <c r="AW26" s="45">
        <f t="shared" si="105"/>
        <v>0.02043703488</v>
      </c>
      <c r="AX26" s="45">
        <f t="shared" si="105"/>
        <v>0.02020670959</v>
      </c>
      <c r="AY26" s="45">
        <f t="shared" si="105"/>
        <v>-99999.97959</v>
      </c>
      <c r="AZ26" s="45">
        <f t="shared" si="105"/>
        <v>-99999.99449</v>
      </c>
      <c r="BA26" s="45">
        <f t="shared" si="105"/>
        <v>-99999.98003</v>
      </c>
      <c r="BB26" s="45">
        <f t="shared" si="105"/>
        <v>-99999.98083</v>
      </c>
      <c r="BC26" s="45">
        <f t="shared" si="105"/>
        <v>-99999.98042</v>
      </c>
      <c r="BD26" s="46">
        <f t="shared" si="105"/>
        <v>-99999.99413</v>
      </c>
      <c r="CD26" s="50">
        <f t="shared" ref="CD26:CK26" si="106">max(0,CD13)</f>
        <v>0.001335056067</v>
      </c>
      <c r="CE26" s="51">
        <f t="shared" si="106"/>
        <v>0.001335056067</v>
      </c>
      <c r="CF26" s="51">
        <f t="shared" si="106"/>
        <v>0.001335056067</v>
      </c>
      <c r="CG26" s="51">
        <f t="shared" si="106"/>
        <v>0.001335056067</v>
      </c>
      <c r="CH26" s="51">
        <f t="shared" si="106"/>
        <v>0.001335056067</v>
      </c>
      <c r="CI26" s="51">
        <f t="shared" si="106"/>
        <v>0.001335056067</v>
      </c>
      <c r="CJ26" s="51">
        <f t="shared" si="106"/>
        <v>0.001335056067</v>
      </c>
      <c r="CK26" s="52">
        <f t="shared" si="106"/>
        <v>0.001335056067</v>
      </c>
      <c r="CM26" s="53">
        <f t="shared" ref="CM26:CP26" si="107">CN$17*((CM11-AVERAGE($CM11:$CP11))/(sqrt(VARP($CM11:$CP11)+0.00001)))+CN$18</f>
        <v>0.2948972033</v>
      </c>
      <c r="CN26" s="54">
        <f t="shared" si="107"/>
        <v>1.780010107</v>
      </c>
      <c r="CO26" s="54">
        <f t="shared" si="107"/>
        <v>-0.9784522674</v>
      </c>
      <c r="CP26" s="55">
        <f t="shared" si="107"/>
        <v>-0.6927364394</v>
      </c>
      <c r="CT26" s="53">
        <f t="shared" ref="CT26:DU26" si="108">EXP(CT14)/SUMPRODUCT(EXP($CT14:$DU14))</f>
        <v>0.006799728966</v>
      </c>
      <c r="CU26" s="54">
        <f t="shared" si="108"/>
        <v>0.01257359572</v>
      </c>
      <c r="CV26" s="54">
        <f t="shared" si="108"/>
        <v>0.04328245737</v>
      </c>
      <c r="CW26" s="54">
        <f t="shared" si="108"/>
        <v>0.02581990187</v>
      </c>
      <c r="CX26" s="54">
        <f t="shared" si="108"/>
        <v>0.03459601783</v>
      </c>
      <c r="CY26" s="54">
        <f t="shared" si="108"/>
        <v>0.05778811222</v>
      </c>
      <c r="CZ26" s="54">
        <f t="shared" si="108"/>
        <v>0.01382311405</v>
      </c>
      <c r="DA26" s="54">
        <f t="shared" si="108"/>
        <v>0.02541923377</v>
      </c>
      <c r="DB26" s="54">
        <f t="shared" si="108"/>
        <v>0.03242966477</v>
      </c>
      <c r="DC26" s="54">
        <f t="shared" si="108"/>
        <v>0.07289230274</v>
      </c>
      <c r="DD26" s="54">
        <f t="shared" si="108"/>
        <v>0.0224572023</v>
      </c>
      <c r="DE26" s="54">
        <f t="shared" si="108"/>
        <v>0.03846146076</v>
      </c>
      <c r="DF26" s="54">
        <f t="shared" si="108"/>
        <v>0.0488784014</v>
      </c>
      <c r="DG26" s="54">
        <f t="shared" si="108"/>
        <v>0.0224290039</v>
      </c>
      <c r="DH26" s="54">
        <f t="shared" si="108"/>
        <v>0.01952726178</v>
      </c>
      <c r="DI26" s="54">
        <f t="shared" si="108"/>
        <v>0.03043886928</v>
      </c>
      <c r="DJ26" s="54">
        <f t="shared" si="108"/>
        <v>0.01663192839</v>
      </c>
      <c r="DK26" s="54">
        <f t="shared" si="108"/>
        <v>0.07259283244</v>
      </c>
      <c r="DL26" s="54">
        <f t="shared" si="108"/>
        <v>0.08064088752</v>
      </c>
      <c r="DM26" s="54">
        <f t="shared" si="108"/>
        <v>0.04012284059</v>
      </c>
      <c r="DN26" s="54">
        <f t="shared" si="108"/>
        <v>0.06213778945</v>
      </c>
      <c r="DO26" s="54">
        <f t="shared" si="108"/>
        <v>0.04013836472</v>
      </c>
      <c r="DP26" s="54">
        <f t="shared" si="108"/>
        <v>0.02341159515</v>
      </c>
      <c r="DQ26" s="54">
        <f t="shared" si="108"/>
        <v>0.03076871865</v>
      </c>
      <c r="DR26" s="54">
        <f t="shared" si="108"/>
        <v>0.05032113061</v>
      </c>
      <c r="DS26" s="54">
        <f t="shared" si="108"/>
        <v>0.02260343388</v>
      </c>
      <c r="DT26" s="54">
        <f t="shared" si="108"/>
        <v>0.02838926611</v>
      </c>
      <c r="DU26" s="55">
        <f t="shared" si="108"/>
        <v>0.02462488376</v>
      </c>
    </row>
    <row r="27">
      <c r="A27" s="5" t="s">
        <v>95</v>
      </c>
      <c r="B27" s="33">
        <f t="shared" si="18"/>
        <v>21</v>
      </c>
      <c r="D27" s="34">
        <f t="shared" si="19"/>
        <v>21</v>
      </c>
      <c r="E27" s="35">
        <f t="shared" ref="E27:H27" si="109">RANDBETWEEN(1,99)/100</f>
        <v>0.21</v>
      </c>
      <c r="F27" s="36">
        <f t="shared" si="109"/>
        <v>0.39</v>
      </c>
      <c r="G27" s="36">
        <f t="shared" si="109"/>
        <v>0.48</v>
      </c>
      <c r="H27" s="37">
        <f t="shared" si="109"/>
        <v>0.79</v>
      </c>
      <c r="AG27" s="86">
        <v>0.134539</v>
      </c>
      <c r="AH27" s="87">
        <v>0.14309399999999997</v>
      </c>
      <c r="AJ27" s="86">
        <f t="shared" ref="AJ27:AS27" si="110">AJ14/SQRT(2)</f>
        <v>0.01977210744</v>
      </c>
      <c r="AK27" s="89">
        <f t="shared" si="110"/>
        <v>0.006476023204</v>
      </c>
      <c r="AL27" s="89">
        <f t="shared" si="110"/>
        <v>0.02082936974</v>
      </c>
      <c r="AM27" s="89">
        <f t="shared" si="110"/>
        <v>0.02059385468</v>
      </c>
      <c r="AN27" s="89">
        <f t="shared" si="110"/>
        <v>0.02080569432</v>
      </c>
      <c r="AO27" s="89">
        <f t="shared" si="110"/>
        <v>0.005618783292</v>
      </c>
      <c r="AP27" s="89">
        <f t="shared" si="110"/>
        <v>0.02035833632</v>
      </c>
      <c r="AQ27" s="89">
        <f t="shared" si="110"/>
        <v>0.01953543754</v>
      </c>
      <c r="AR27" s="89">
        <f t="shared" si="110"/>
        <v>0.01995889702</v>
      </c>
      <c r="AS27" s="87">
        <f t="shared" si="110"/>
        <v>0.005979227603</v>
      </c>
      <c r="AU27" s="44">
        <f t="shared" ref="AU27:BD27" si="111">AJ27+AU14</f>
        <v>0.01977210744</v>
      </c>
      <c r="AV27" s="45">
        <f t="shared" si="111"/>
        <v>0.006476023204</v>
      </c>
      <c r="AW27" s="45">
        <f t="shared" si="111"/>
        <v>0.02082936974</v>
      </c>
      <c r="AX27" s="45">
        <f t="shared" si="111"/>
        <v>0.02059385468</v>
      </c>
      <c r="AY27" s="45">
        <f t="shared" si="111"/>
        <v>0.02080569432</v>
      </c>
      <c r="AZ27" s="45">
        <f t="shared" si="111"/>
        <v>-99999.99438</v>
      </c>
      <c r="BA27" s="45">
        <f t="shared" si="111"/>
        <v>-99999.97964</v>
      </c>
      <c r="BB27" s="45">
        <f t="shared" si="111"/>
        <v>-99999.98046</v>
      </c>
      <c r="BC27" s="45">
        <f t="shared" si="111"/>
        <v>-99999.98004</v>
      </c>
      <c r="BD27" s="46">
        <f t="shared" si="111"/>
        <v>-99999.99402</v>
      </c>
      <c r="CD27" s="50">
        <f t="shared" ref="CD27:CK27" si="112">max(0,CD14)</f>
        <v>0.003436097178</v>
      </c>
      <c r="CE27" s="51">
        <f t="shared" si="112"/>
        <v>0.003436097178</v>
      </c>
      <c r="CF27" s="51">
        <f t="shared" si="112"/>
        <v>0.003436097178</v>
      </c>
      <c r="CG27" s="51">
        <f t="shared" si="112"/>
        <v>0.003436097178</v>
      </c>
      <c r="CH27" s="51">
        <f t="shared" si="112"/>
        <v>0.003436097178</v>
      </c>
      <c r="CI27" s="51">
        <f t="shared" si="112"/>
        <v>0.003436097178</v>
      </c>
      <c r="CJ27" s="51">
        <f t="shared" si="112"/>
        <v>0.003436097178</v>
      </c>
      <c r="CK27" s="52">
        <f t="shared" si="112"/>
        <v>0.003436097178</v>
      </c>
      <c r="CM27" s="53">
        <f t="shared" ref="CM27:CP27" si="113">CN$17*((CM12-AVERAGE($CM12:$CP12))/(sqrt(VARP($CM12:$CP12)+0.00001)))+CN$18</f>
        <v>1.02836564</v>
      </c>
      <c r="CN27" s="54">
        <f t="shared" si="113"/>
        <v>-1.264708763</v>
      </c>
      <c r="CO27" s="54">
        <f t="shared" si="113"/>
        <v>-0.8656605486</v>
      </c>
      <c r="CP27" s="55">
        <f t="shared" si="113"/>
        <v>0.9857367163</v>
      </c>
      <c r="CT27" s="53">
        <f t="shared" ref="CT27:DU27" si="114">EXP(CT15)/SUMPRODUCT(EXP($CT15:$DU15))</f>
        <v>0.02360385756</v>
      </c>
      <c r="CU27" s="54">
        <f t="shared" si="114"/>
        <v>0.06233646584</v>
      </c>
      <c r="CV27" s="54">
        <f t="shared" si="114"/>
        <v>0.03864754953</v>
      </c>
      <c r="CW27" s="54">
        <f t="shared" si="114"/>
        <v>0.02159182366</v>
      </c>
      <c r="CX27" s="54">
        <f t="shared" si="114"/>
        <v>0.0226026836</v>
      </c>
      <c r="CY27" s="54">
        <f t="shared" si="114"/>
        <v>0.02658618625</v>
      </c>
      <c r="CZ27" s="54">
        <f t="shared" si="114"/>
        <v>0.01848300544</v>
      </c>
      <c r="DA27" s="54">
        <f t="shared" si="114"/>
        <v>0.006539453527</v>
      </c>
      <c r="DB27" s="54">
        <f t="shared" si="114"/>
        <v>0.02092455917</v>
      </c>
      <c r="DC27" s="54">
        <f t="shared" si="114"/>
        <v>0.03082626067</v>
      </c>
      <c r="DD27" s="54">
        <f t="shared" si="114"/>
        <v>0.02368736083</v>
      </c>
      <c r="DE27" s="54">
        <f t="shared" si="114"/>
        <v>0.02553749834</v>
      </c>
      <c r="DF27" s="54">
        <f t="shared" si="114"/>
        <v>0.02998485804</v>
      </c>
      <c r="DG27" s="54">
        <f t="shared" si="114"/>
        <v>0.03042373465</v>
      </c>
      <c r="DH27" s="54">
        <f t="shared" si="114"/>
        <v>0.02907530359</v>
      </c>
      <c r="DI27" s="54">
        <f t="shared" si="114"/>
        <v>0.03807563012</v>
      </c>
      <c r="DJ27" s="54">
        <f t="shared" si="114"/>
        <v>0.05543013496</v>
      </c>
      <c r="DK27" s="54">
        <f t="shared" si="114"/>
        <v>0.07112385139</v>
      </c>
      <c r="DL27" s="54">
        <f t="shared" si="114"/>
        <v>0.08988828881</v>
      </c>
      <c r="DM27" s="54">
        <f t="shared" si="114"/>
        <v>0.06305494893</v>
      </c>
      <c r="DN27" s="54">
        <f t="shared" si="114"/>
        <v>0.04350045527</v>
      </c>
      <c r="DO27" s="54">
        <f t="shared" si="114"/>
        <v>0.03051128335</v>
      </c>
      <c r="DP27" s="54">
        <f t="shared" si="114"/>
        <v>0.02256508885</v>
      </c>
      <c r="DQ27" s="54">
        <f t="shared" si="114"/>
        <v>0.03334995267</v>
      </c>
      <c r="DR27" s="54">
        <f t="shared" si="114"/>
        <v>0.04797176149</v>
      </c>
      <c r="DS27" s="54">
        <f t="shared" si="114"/>
        <v>0.04414762009</v>
      </c>
      <c r="DT27" s="54">
        <f t="shared" si="114"/>
        <v>0.02714578318</v>
      </c>
      <c r="DU27" s="55">
        <f t="shared" si="114"/>
        <v>0.0223846002</v>
      </c>
    </row>
    <row r="28">
      <c r="A28" s="5" t="s">
        <v>96</v>
      </c>
      <c r="B28" s="33">
        <f t="shared" si="18"/>
        <v>22</v>
      </c>
      <c r="D28" s="34">
        <f t="shared" si="19"/>
        <v>22</v>
      </c>
      <c r="E28" s="35">
        <f t="shared" ref="E28:H28" si="115">RANDBETWEEN(1,99)/100</f>
        <v>0.92</v>
      </c>
      <c r="F28" s="36">
        <f t="shared" si="115"/>
        <v>0.33</v>
      </c>
      <c r="G28" s="36">
        <f t="shared" si="115"/>
        <v>0.86</v>
      </c>
      <c r="H28" s="37">
        <f t="shared" si="115"/>
        <v>0.88</v>
      </c>
      <c r="AG28" s="86">
        <v>0.12253600000000002</v>
      </c>
      <c r="AH28" s="87">
        <v>0.162192</v>
      </c>
      <c r="AJ28" s="86">
        <f t="shared" ref="AJ28:AS28" si="116">AJ15/SQRT(2)</f>
        <v>0.005304762972</v>
      </c>
      <c r="AK28" s="89">
        <f t="shared" si="116"/>
        <v>0.001729725539</v>
      </c>
      <c r="AL28" s="89">
        <f t="shared" si="116"/>
        <v>0.005631052169</v>
      </c>
      <c r="AM28" s="89">
        <f t="shared" si="116"/>
        <v>0.00552387486</v>
      </c>
      <c r="AN28" s="89">
        <f t="shared" si="116"/>
        <v>0.005579664223</v>
      </c>
      <c r="AO28" s="89">
        <f t="shared" si="116"/>
        <v>0.001498654959</v>
      </c>
      <c r="AP28" s="89">
        <f t="shared" si="116"/>
        <v>0.005502465774</v>
      </c>
      <c r="AQ28" s="89">
        <f t="shared" si="116"/>
        <v>0.00516644426</v>
      </c>
      <c r="AR28" s="89">
        <f t="shared" si="116"/>
        <v>0.005348405006</v>
      </c>
      <c r="AS28" s="87">
        <f t="shared" si="116"/>
        <v>0.001594853923</v>
      </c>
      <c r="AU28" s="44">
        <f t="shared" ref="AU28:BD28" si="117">AJ28+AU15</f>
        <v>0.005304762972</v>
      </c>
      <c r="AV28" s="45">
        <f t="shared" si="117"/>
        <v>0.001729725539</v>
      </c>
      <c r="AW28" s="45">
        <f t="shared" si="117"/>
        <v>0.005631052169</v>
      </c>
      <c r="AX28" s="45">
        <f t="shared" si="117"/>
        <v>0.00552387486</v>
      </c>
      <c r="AY28" s="45">
        <f t="shared" si="117"/>
        <v>0.005579664223</v>
      </c>
      <c r="AZ28" s="45">
        <f t="shared" si="117"/>
        <v>0.001498654959</v>
      </c>
      <c r="BA28" s="45">
        <f t="shared" si="117"/>
        <v>-99999.9945</v>
      </c>
      <c r="BB28" s="45">
        <f t="shared" si="117"/>
        <v>-99999.99483</v>
      </c>
      <c r="BC28" s="45">
        <f t="shared" si="117"/>
        <v>-99999.99465</v>
      </c>
      <c r="BD28" s="46">
        <f t="shared" si="117"/>
        <v>-99999.99841</v>
      </c>
      <c r="BO28" s="5" t="s">
        <v>97</v>
      </c>
      <c r="BP28" s="80">
        <v>1.0</v>
      </c>
      <c r="BQ28" s="80">
        <v>1.2</v>
      </c>
      <c r="BR28" s="80">
        <v>0.9</v>
      </c>
      <c r="BS28" s="80">
        <v>1.0</v>
      </c>
      <c r="CD28" s="74">
        <f t="shared" ref="CD28:CK28" si="118">max(0,CD15)</f>
        <v>0.003888259368</v>
      </c>
      <c r="CE28" s="75">
        <f t="shared" si="118"/>
        <v>0.003888259368</v>
      </c>
      <c r="CF28" s="75">
        <f t="shared" si="118"/>
        <v>0.003888259368</v>
      </c>
      <c r="CG28" s="75">
        <f t="shared" si="118"/>
        <v>0.003888259368</v>
      </c>
      <c r="CH28" s="75">
        <f t="shared" si="118"/>
        <v>0.003888259368</v>
      </c>
      <c r="CI28" s="75">
        <f t="shared" si="118"/>
        <v>0.003888259368</v>
      </c>
      <c r="CJ28" s="75">
        <f t="shared" si="118"/>
        <v>0.003888259368</v>
      </c>
      <c r="CK28" s="76">
        <f t="shared" si="118"/>
        <v>0.003888259368</v>
      </c>
      <c r="CM28" s="53">
        <f t="shared" ref="CM28:CP28" si="119">CN$17*((CM13-AVERAGE($CM13:$CP13))/(sqrt(VARP($CM13:$CP13)+0.00001)))+CN$18</f>
        <v>-1.358263352</v>
      </c>
      <c r="CN28" s="54">
        <f t="shared" si="119"/>
        <v>1.428089571</v>
      </c>
      <c r="CO28" s="54">
        <f t="shared" si="119"/>
        <v>0.589126936</v>
      </c>
      <c r="CP28" s="55">
        <f t="shared" si="119"/>
        <v>-0.4880634411</v>
      </c>
      <c r="CT28" s="53">
        <f t="shared" ref="CT28:DU28" si="120">EXP(CT16)/SUMPRODUCT(EXP($CT16:$DU16))</f>
        <v>0.02421374039</v>
      </c>
      <c r="CU28" s="54">
        <f t="shared" si="120"/>
        <v>0.06607436252</v>
      </c>
      <c r="CV28" s="54">
        <f t="shared" si="120"/>
        <v>0.03490913818</v>
      </c>
      <c r="CW28" s="54">
        <f t="shared" si="120"/>
        <v>0.02055222594</v>
      </c>
      <c r="CX28" s="54">
        <f t="shared" si="120"/>
        <v>0.02294889053</v>
      </c>
      <c r="CY28" s="54">
        <f t="shared" si="120"/>
        <v>0.02311392252</v>
      </c>
      <c r="CZ28" s="54">
        <f t="shared" si="120"/>
        <v>0.01930913211</v>
      </c>
      <c r="DA28" s="54">
        <f t="shared" si="120"/>
        <v>0.006403774807</v>
      </c>
      <c r="DB28" s="54">
        <f t="shared" si="120"/>
        <v>0.01982528518</v>
      </c>
      <c r="DC28" s="54">
        <f t="shared" si="120"/>
        <v>0.02888417029</v>
      </c>
      <c r="DD28" s="54">
        <f t="shared" si="120"/>
        <v>0.02278140938</v>
      </c>
      <c r="DE28" s="54">
        <f t="shared" si="120"/>
        <v>0.02500806535</v>
      </c>
      <c r="DF28" s="54">
        <f t="shared" si="120"/>
        <v>0.03032757332</v>
      </c>
      <c r="DG28" s="54">
        <f t="shared" si="120"/>
        <v>0.03054415213</v>
      </c>
      <c r="DH28" s="54">
        <f t="shared" si="120"/>
        <v>0.03084074085</v>
      </c>
      <c r="DI28" s="54">
        <f t="shared" si="120"/>
        <v>0.03522872488</v>
      </c>
      <c r="DJ28" s="54">
        <f t="shared" si="120"/>
        <v>0.05979385443</v>
      </c>
      <c r="DK28" s="54">
        <f t="shared" si="120"/>
        <v>0.06479010403</v>
      </c>
      <c r="DL28" s="54">
        <f t="shared" si="120"/>
        <v>0.08386227543</v>
      </c>
      <c r="DM28" s="54">
        <f t="shared" si="120"/>
        <v>0.07004809046</v>
      </c>
      <c r="DN28" s="54">
        <f t="shared" si="120"/>
        <v>0.04539294601</v>
      </c>
      <c r="DO28" s="54">
        <f t="shared" si="120"/>
        <v>0.03315618146</v>
      </c>
      <c r="DP28" s="54">
        <f t="shared" si="120"/>
        <v>0.02077738693</v>
      </c>
      <c r="DQ28" s="54">
        <f t="shared" si="120"/>
        <v>0.03032592081</v>
      </c>
      <c r="DR28" s="54">
        <f t="shared" si="120"/>
        <v>0.0507643698</v>
      </c>
      <c r="DS28" s="54">
        <f t="shared" si="120"/>
        <v>0.05145989488</v>
      </c>
      <c r="DT28" s="54">
        <f t="shared" si="120"/>
        <v>0.02658669178</v>
      </c>
      <c r="DU28" s="55">
        <f t="shared" si="120"/>
        <v>0.02207697562</v>
      </c>
    </row>
    <row r="29">
      <c r="A29" s="5" t="s">
        <v>98</v>
      </c>
      <c r="B29" s="33">
        <f t="shared" si="18"/>
        <v>23</v>
      </c>
      <c r="D29" s="34">
        <f t="shared" si="19"/>
        <v>23</v>
      </c>
      <c r="E29" s="35">
        <f t="shared" ref="E29:H29" si="121">RANDBETWEEN(1,99)/100</f>
        <v>0.73</v>
      </c>
      <c r="F29" s="36">
        <f t="shared" si="121"/>
        <v>0.61</v>
      </c>
      <c r="G29" s="36">
        <f t="shared" si="121"/>
        <v>0.59</v>
      </c>
      <c r="H29" s="37">
        <f t="shared" si="121"/>
        <v>0.7</v>
      </c>
      <c r="AG29" s="90">
        <v>0.038288</v>
      </c>
      <c r="AH29" s="91">
        <v>0.046896</v>
      </c>
      <c r="AJ29" s="86">
        <f t="shared" ref="AJ29:AS29" si="122">AJ16/SQRT(2)</f>
        <v>0.0224544754</v>
      </c>
      <c r="AK29" s="89">
        <f t="shared" si="122"/>
        <v>0.007367459512</v>
      </c>
      <c r="AL29" s="89">
        <f t="shared" si="122"/>
        <v>0.02358446673</v>
      </c>
      <c r="AM29" s="89">
        <f t="shared" si="122"/>
        <v>0.02338995831</v>
      </c>
      <c r="AN29" s="89">
        <f t="shared" si="122"/>
        <v>0.02363227217</v>
      </c>
      <c r="AO29" s="89">
        <f t="shared" si="122"/>
        <v>0.006395709288</v>
      </c>
      <c r="AP29" s="89">
        <f t="shared" si="122"/>
        <v>0.02305319682</v>
      </c>
      <c r="AQ29" s="89">
        <f t="shared" si="122"/>
        <v>0.02230979007</v>
      </c>
      <c r="AR29" s="89">
        <f t="shared" si="122"/>
        <v>0.02267734077</v>
      </c>
      <c r="AS29" s="87">
        <f t="shared" si="122"/>
        <v>0.006805893107</v>
      </c>
      <c r="AU29" s="44">
        <f t="shared" ref="AU29:BD29" si="123">AJ29+AU16</f>
        <v>0.0224544754</v>
      </c>
      <c r="AV29" s="45">
        <f t="shared" si="123"/>
        <v>0.007367459512</v>
      </c>
      <c r="AW29" s="45">
        <f t="shared" si="123"/>
        <v>0.02358446673</v>
      </c>
      <c r="AX29" s="45">
        <f t="shared" si="123"/>
        <v>0.02338995831</v>
      </c>
      <c r="AY29" s="45">
        <f t="shared" si="123"/>
        <v>0.02363227217</v>
      </c>
      <c r="AZ29" s="45">
        <f t="shared" si="123"/>
        <v>0.006395709288</v>
      </c>
      <c r="BA29" s="45">
        <f t="shared" si="123"/>
        <v>0.02305319682</v>
      </c>
      <c r="BB29" s="45">
        <f t="shared" si="123"/>
        <v>-99999.97769</v>
      </c>
      <c r="BC29" s="45">
        <f t="shared" si="123"/>
        <v>-99999.97732</v>
      </c>
      <c r="BD29" s="46">
        <f t="shared" si="123"/>
        <v>-99999.99319</v>
      </c>
      <c r="BO29" s="5" t="s">
        <v>99</v>
      </c>
      <c r="BP29" s="80">
        <v>0.01</v>
      </c>
      <c r="BQ29" s="80">
        <v>-0.02</v>
      </c>
      <c r="BR29" s="80">
        <v>0.0</v>
      </c>
      <c r="BS29" s="80">
        <v>0.005</v>
      </c>
      <c r="CM29" s="53">
        <f t="shared" ref="CM29:CP29" si="124">CN$17*((CM14-AVERAGE($CM14:$CP14))/(sqrt(VARP($CM14:$CP14)+0.00001)))+CN$18</f>
        <v>0.772641805</v>
      </c>
      <c r="CN29" s="54">
        <f t="shared" si="124"/>
        <v>1.333418943</v>
      </c>
      <c r="CO29" s="54">
        <f t="shared" si="124"/>
        <v>-1.232195644</v>
      </c>
      <c r="CP29" s="55">
        <f t="shared" si="124"/>
        <v>-0.5163846533</v>
      </c>
      <c r="CT29" s="53">
        <f t="shared" ref="CT29:DU29" si="125">EXP(CT17)/SUMPRODUCT(EXP($CT17:$DU17))</f>
        <v>0.04644386121</v>
      </c>
      <c r="CU29" s="54">
        <f t="shared" si="125"/>
        <v>0.09974184784</v>
      </c>
      <c r="CV29" s="54">
        <f t="shared" si="125"/>
        <v>0.02274390382</v>
      </c>
      <c r="CW29" s="54">
        <f t="shared" si="125"/>
        <v>0.01962721284</v>
      </c>
      <c r="CX29" s="54">
        <f t="shared" si="125"/>
        <v>0.02294397902</v>
      </c>
      <c r="CY29" s="54">
        <f t="shared" si="125"/>
        <v>0.01262907883</v>
      </c>
      <c r="CZ29" s="54">
        <f t="shared" si="125"/>
        <v>0.03010393323</v>
      </c>
      <c r="DA29" s="54">
        <f t="shared" si="125"/>
        <v>0.007333751935</v>
      </c>
      <c r="DB29" s="54">
        <f t="shared" si="125"/>
        <v>0.01718017516</v>
      </c>
      <c r="DC29" s="54">
        <f t="shared" si="125"/>
        <v>0.01720841332</v>
      </c>
      <c r="DD29" s="54">
        <f t="shared" si="125"/>
        <v>0.02338810614</v>
      </c>
      <c r="DE29" s="54">
        <f t="shared" si="125"/>
        <v>0.02167951329</v>
      </c>
      <c r="DF29" s="54">
        <f t="shared" si="125"/>
        <v>0.02563847115</v>
      </c>
      <c r="DG29" s="54">
        <f t="shared" si="125"/>
        <v>0.03419810706</v>
      </c>
      <c r="DH29" s="54">
        <f t="shared" si="125"/>
        <v>0.04203082867</v>
      </c>
      <c r="DI29" s="54">
        <f t="shared" si="125"/>
        <v>0.02798204585</v>
      </c>
      <c r="DJ29" s="54">
        <f t="shared" si="125"/>
        <v>0.08552603815</v>
      </c>
      <c r="DK29" s="54">
        <f t="shared" si="125"/>
        <v>0.03348423016</v>
      </c>
      <c r="DL29" s="54">
        <f t="shared" si="125"/>
        <v>0.04330609803</v>
      </c>
      <c r="DM29" s="54">
        <f t="shared" si="125"/>
        <v>0.07591357324</v>
      </c>
      <c r="DN29" s="54">
        <f t="shared" si="125"/>
        <v>0.03663433217</v>
      </c>
      <c r="DO29" s="54">
        <f t="shared" si="125"/>
        <v>0.03620119571</v>
      </c>
      <c r="DP29" s="54">
        <f t="shared" si="125"/>
        <v>0.01887956605</v>
      </c>
      <c r="DQ29" s="54">
        <f t="shared" si="125"/>
        <v>0.02321760016</v>
      </c>
      <c r="DR29" s="54">
        <f t="shared" si="125"/>
        <v>0.0456575015</v>
      </c>
      <c r="DS29" s="54">
        <f t="shared" si="125"/>
        <v>0.08109281833</v>
      </c>
      <c r="DT29" s="54">
        <f t="shared" si="125"/>
        <v>0.02579184463</v>
      </c>
      <c r="DU29" s="55">
        <f t="shared" si="125"/>
        <v>0.02342197252</v>
      </c>
    </row>
    <row r="30">
      <c r="A30" s="5" t="s">
        <v>100</v>
      </c>
      <c r="B30" s="33">
        <f t="shared" si="18"/>
        <v>24</v>
      </c>
      <c r="D30" s="34">
        <f t="shared" si="19"/>
        <v>24</v>
      </c>
      <c r="E30" s="35">
        <f t="shared" ref="E30:H30" si="126">RANDBETWEEN(1,99)/100</f>
        <v>0.01</v>
      </c>
      <c r="F30" s="36">
        <f t="shared" si="126"/>
        <v>0.59</v>
      </c>
      <c r="G30" s="36">
        <f t="shared" si="126"/>
        <v>0.28</v>
      </c>
      <c r="H30" s="37">
        <f t="shared" si="126"/>
        <v>0.42</v>
      </c>
      <c r="AJ30" s="86">
        <f t="shared" ref="AJ30:AS30" si="127">AJ17/SQRT(2)</f>
        <v>0.01596011864</v>
      </c>
      <c r="AK30" s="89">
        <f t="shared" si="127"/>
        <v>0.005237493477</v>
      </c>
      <c r="AL30" s="89">
        <f t="shared" si="127"/>
        <v>0.01675848551</v>
      </c>
      <c r="AM30" s="89">
        <f t="shared" si="127"/>
        <v>0.01662519129</v>
      </c>
      <c r="AN30" s="89">
        <f t="shared" si="127"/>
        <v>0.01679754025</v>
      </c>
      <c r="AO30" s="89">
        <f t="shared" si="127"/>
        <v>0.00454691743</v>
      </c>
      <c r="AP30" s="89">
        <f t="shared" si="127"/>
        <v>0.01638112034</v>
      </c>
      <c r="AQ30" s="89">
        <f t="shared" si="127"/>
        <v>0.01586571235</v>
      </c>
      <c r="AR30" s="89">
        <f t="shared" si="127"/>
        <v>0.01611925566</v>
      </c>
      <c r="AS30" s="87">
        <f t="shared" si="127"/>
        <v>0.004838523633</v>
      </c>
      <c r="AU30" s="44">
        <f t="shared" ref="AU30:BD30" si="128">AJ30+AU17</f>
        <v>0.01596011864</v>
      </c>
      <c r="AV30" s="45">
        <f t="shared" si="128"/>
        <v>0.005237493477</v>
      </c>
      <c r="AW30" s="45">
        <f t="shared" si="128"/>
        <v>0.01675848551</v>
      </c>
      <c r="AX30" s="45">
        <f t="shared" si="128"/>
        <v>0.01662519129</v>
      </c>
      <c r="AY30" s="45">
        <f t="shared" si="128"/>
        <v>0.01679754025</v>
      </c>
      <c r="AZ30" s="45">
        <f t="shared" si="128"/>
        <v>0.00454691743</v>
      </c>
      <c r="BA30" s="45">
        <f t="shared" si="128"/>
        <v>0.01638112034</v>
      </c>
      <c r="BB30" s="45">
        <f t="shared" si="128"/>
        <v>0.01586571235</v>
      </c>
      <c r="BC30" s="45">
        <f t="shared" si="128"/>
        <v>-99999.98388</v>
      </c>
      <c r="BD30" s="46">
        <f t="shared" si="128"/>
        <v>-99999.99516</v>
      </c>
      <c r="CD30" s="5" t="s">
        <v>101</v>
      </c>
      <c r="CM30" s="77">
        <f t="shared" ref="CM30:CP30" si="129">CN$17*((CM15-AVERAGE($CM15:$CP15))/(sqrt(VARP($CM15:$CP15)+0.00001)))+CN$18</f>
        <v>0.3543536943</v>
      </c>
      <c r="CN30" s="78">
        <f t="shared" si="129"/>
        <v>1.754625196</v>
      </c>
      <c r="CO30" s="78">
        <f t="shared" si="129"/>
        <v>-0.9348734469</v>
      </c>
      <c r="CP30" s="79">
        <f t="shared" si="129"/>
        <v>-0.7794597504</v>
      </c>
      <c r="CT30" s="53">
        <f t="shared" ref="CT30:DU30" si="130">EXP(CT18)/SUMPRODUCT(EXP($CT18:$DU18))</f>
        <v>0.006825656398</v>
      </c>
      <c r="CU30" s="54">
        <f t="shared" si="130"/>
        <v>0.01272997138</v>
      </c>
      <c r="CV30" s="54">
        <f t="shared" si="130"/>
        <v>0.04359693085</v>
      </c>
      <c r="CW30" s="54">
        <f t="shared" si="130"/>
        <v>0.02575886256</v>
      </c>
      <c r="CX30" s="54">
        <f t="shared" si="130"/>
        <v>0.03428581929</v>
      </c>
      <c r="CY30" s="54">
        <f t="shared" si="130"/>
        <v>0.05789152679</v>
      </c>
      <c r="CZ30" s="54">
        <f t="shared" si="130"/>
        <v>0.0137227953</v>
      </c>
      <c r="DA30" s="54">
        <f t="shared" si="130"/>
        <v>0.02481247944</v>
      </c>
      <c r="DB30" s="54">
        <f t="shared" si="130"/>
        <v>0.03228958892</v>
      </c>
      <c r="DC30" s="54">
        <f t="shared" si="130"/>
        <v>0.07263742875</v>
      </c>
      <c r="DD30" s="54">
        <f t="shared" si="130"/>
        <v>0.02244481932</v>
      </c>
      <c r="DE30" s="54">
        <f t="shared" si="130"/>
        <v>0.03826967195</v>
      </c>
      <c r="DF30" s="54">
        <f t="shared" si="130"/>
        <v>0.04854748783</v>
      </c>
      <c r="DG30" s="54">
        <f t="shared" si="130"/>
        <v>0.02243385878</v>
      </c>
      <c r="DH30" s="54">
        <f t="shared" si="130"/>
        <v>0.01945405071</v>
      </c>
      <c r="DI30" s="54">
        <f t="shared" si="130"/>
        <v>0.03068024272</v>
      </c>
      <c r="DJ30" s="54">
        <f t="shared" si="130"/>
        <v>0.01674591909</v>
      </c>
      <c r="DK30" s="54">
        <f t="shared" si="130"/>
        <v>0.07350755359</v>
      </c>
      <c r="DL30" s="54">
        <f t="shared" si="130"/>
        <v>0.08175093143</v>
      </c>
      <c r="DM30" s="54">
        <f t="shared" si="130"/>
        <v>0.04010900804</v>
      </c>
      <c r="DN30" s="54">
        <f t="shared" si="130"/>
        <v>0.06182675437</v>
      </c>
      <c r="DO30" s="54">
        <f t="shared" si="130"/>
        <v>0.0397158828</v>
      </c>
      <c r="DP30" s="54">
        <f t="shared" si="130"/>
        <v>0.02345246764</v>
      </c>
      <c r="DQ30" s="54">
        <f t="shared" si="130"/>
        <v>0.0309848004</v>
      </c>
      <c r="DR30" s="54">
        <f t="shared" si="130"/>
        <v>0.05017889658</v>
      </c>
      <c r="DS30" s="54">
        <f t="shared" si="130"/>
        <v>0.02248069191</v>
      </c>
      <c r="DT30" s="54">
        <f t="shared" si="130"/>
        <v>0.02834405381</v>
      </c>
      <c r="DU30" s="55">
        <f t="shared" si="130"/>
        <v>0.02452184933</v>
      </c>
    </row>
    <row r="31">
      <c r="A31" s="5" t="s">
        <v>102</v>
      </c>
      <c r="B31" s="33">
        <f t="shared" si="18"/>
        <v>25</v>
      </c>
      <c r="D31" s="34">
        <f t="shared" si="19"/>
        <v>25</v>
      </c>
      <c r="E31" s="35">
        <f t="shared" ref="E31:H31" si="131">RANDBETWEEN(1,99)/100</f>
        <v>0.67</v>
      </c>
      <c r="F31" s="36">
        <f t="shared" si="131"/>
        <v>0.76</v>
      </c>
      <c r="G31" s="36">
        <f t="shared" si="131"/>
        <v>0.96</v>
      </c>
      <c r="H31" s="37">
        <f t="shared" si="131"/>
        <v>0.08</v>
      </c>
      <c r="AD31" s="5" t="s">
        <v>103</v>
      </c>
      <c r="AG31" s="5" t="s">
        <v>104</v>
      </c>
      <c r="AJ31" s="86">
        <f t="shared" ref="AJ31:AS31" si="132">AJ18/SQRT(2)</f>
        <v>0.01909621005</v>
      </c>
      <c r="AK31" s="89">
        <f t="shared" si="132"/>
        <v>0.006254633749</v>
      </c>
      <c r="AL31" s="89">
        <f t="shared" si="132"/>
        <v>0.02011738852</v>
      </c>
      <c r="AM31" s="89">
        <f t="shared" si="132"/>
        <v>0.01988986452</v>
      </c>
      <c r="AN31" s="89">
        <f t="shared" si="132"/>
        <v>0.02009446112</v>
      </c>
      <c r="AO31" s="89">
        <f t="shared" si="132"/>
        <v>0.005426696593</v>
      </c>
      <c r="AP31" s="89">
        <f t="shared" si="132"/>
        <v>0.01966245408</v>
      </c>
      <c r="AQ31" s="89">
        <f t="shared" si="132"/>
        <v>0.0188675287</v>
      </c>
      <c r="AR31" s="89">
        <f t="shared" si="132"/>
        <v>0.01927660553</v>
      </c>
      <c r="AS31" s="87">
        <f t="shared" si="132"/>
        <v>0.005774818645</v>
      </c>
      <c r="AU31" s="44">
        <f t="shared" ref="AU31:BD31" si="133">AJ31+AU18</f>
        <v>0.01909621005</v>
      </c>
      <c r="AV31" s="45">
        <f t="shared" si="133"/>
        <v>0.006254633749</v>
      </c>
      <c r="AW31" s="45">
        <f t="shared" si="133"/>
        <v>0.02011738852</v>
      </c>
      <c r="AX31" s="45">
        <f t="shared" si="133"/>
        <v>0.01988986452</v>
      </c>
      <c r="AY31" s="45">
        <f t="shared" si="133"/>
        <v>0.02009446112</v>
      </c>
      <c r="AZ31" s="45">
        <f t="shared" si="133"/>
        <v>0.005426696593</v>
      </c>
      <c r="BA31" s="45">
        <f t="shared" si="133"/>
        <v>0.01966245408</v>
      </c>
      <c r="BB31" s="45">
        <f t="shared" si="133"/>
        <v>0.0188675287</v>
      </c>
      <c r="BC31" s="45">
        <f t="shared" si="133"/>
        <v>0.01927660553</v>
      </c>
      <c r="BD31" s="46">
        <f t="shared" si="133"/>
        <v>-99999.99423</v>
      </c>
      <c r="CD31" s="27">
        <f t="array" ref="CD31:CG40">MMULT(CD19:CK28,BU12:BX19)</f>
        <v>0.0002349825907</v>
      </c>
      <c r="CE31" s="28">
        <v>2.3498259069320947E-4</v>
      </c>
      <c r="CF31" s="28">
        <v>2.3498259069320947E-4</v>
      </c>
      <c r="CG31" s="29">
        <v>2.3498259069320947E-4</v>
      </c>
      <c r="CT31" s="53">
        <f t="shared" ref="CT31:DU31" si="134">EXP(CT19)/SUMPRODUCT(EXP($CT19:$DU19))</f>
        <v>0.113101166</v>
      </c>
      <c r="CU31" s="54">
        <f t="shared" si="134"/>
        <v>0.06793602957</v>
      </c>
      <c r="CV31" s="54">
        <f t="shared" si="134"/>
        <v>0.01733351139</v>
      </c>
      <c r="CW31" s="54">
        <f t="shared" si="134"/>
        <v>0.03248570864</v>
      </c>
      <c r="CX31" s="54">
        <f t="shared" si="134"/>
        <v>0.03096506131</v>
      </c>
      <c r="CY31" s="54">
        <f t="shared" si="134"/>
        <v>0.01298009967</v>
      </c>
      <c r="CZ31" s="54">
        <f t="shared" si="134"/>
        <v>0.07063301155</v>
      </c>
      <c r="DA31" s="54">
        <f t="shared" si="134"/>
        <v>0.04160130704</v>
      </c>
      <c r="DB31" s="54">
        <f t="shared" si="134"/>
        <v>0.02692804698</v>
      </c>
      <c r="DC31" s="54">
        <f t="shared" si="134"/>
        <v>0.01319670065</v>
      </c>
      <c r="DD31" s="54">
        <f t="shared" si="134"/>
        <v>0.03693031045</v>
      </c>
      <c r="DE31" s="54">
        <f t="shared" si="134"/>
        <v>0.02530594215</v>
      </c>
      <c r="DF31" s="54">
        <f t="shared" si="134"/>
        <v>0.02256394114</v>
      </c>
      <c r="DG31" s="54">
        <f t="shared" si="134"/>
        <v>0.04045801602</v>
      </c>
      <c r="DH31" s="54">
        <f t="shared" si="134"/>
        <v>0.05319149774</v>
      </c>
      <c r="DI31" s="54">
        <f t="shared" si="134"/>
        <v>0.02451184145</v>
      </c>
      <c r="DJ31" s="54">
        <f t="shared" si="134"/>
        <v>0.05825925833</v>
      </c>
      <c r="DK31" s="54">
        <f t="shared" si="134"/>
        <v>0.01097099958</v>
      </c>
      <c r="DL31" s="54">
        <f t="shared" si="134"/>
        <v>0.01050513023</v>
      </c>
      <c r="DM31" s="54">
        <f t="shared" si="134"/>
        <v>0.03136458678</v>
      </c>
      <c r="DN31" s="54">
        <f t="shared" si="134"/>
        <v>0.01951592796</v>
      </c>
      <c r="DO31" s="54">
        <f t="shared" si="134"/>
        <v>0.03230105168</v>
      </c>
      <c r="DP31" s="54">
        <f t="shared" si="134"/>
        <v>0.03168777671</v>
      </c>
      <c r="DQ31" s="54">
        <f t="shared" si="134"/>
        <v>0.02347951766</v>
      </c>
      <c r="DR31" s="54">
        <f t="shared" si="134"/>
        <v>0.02365680327</v>
      </c>
      <c r="DS31" s="54">
        <f t="shared" si="134"/>
        <v>0.05906095146</v>
      </c>
      <c r="DT31" s="54">
        <f t="shared" si="134"/>
        <v>0.03184360688</v>
      </c>
      <c r="DU31" s="55">
        <f t="shared" si="134"/>
        <v>0.03723219768</v>
      </c>
    </row>
    <row r="32">
      <c r="A32" s="5" t="s">
        <v>105</v>
      </c>
      <c r="B32" s="33">
        <f t="shared" si="18"/>
        <v>26</v>
      </c>
      <c r="D32" s="34">
        <f t="shared" si="19"/>
        <v>26</v>
      </c>
      <c r="E32" s="35">
        <f t="shared" ref="E32:H32" si="135">RANDBETWEEN(1,99)/100</f>
        <v>0.88</v>
      </c>
      <c r="F32" s="36">
        <f t="shared" si="135"/>
        <v>0.76</v>
      </c>
      <c r="G32" s="36">
        <f t="shared" si="135"/>
        <v>0.08</v>
      </c>
      <c r="H32" s="37">
        <f t="shared" si="135"/>
        <v>0.63</v>
      </c>
      <c r="AD32" s="24">
        <f t="shared" ref="AD32:AE32" si="136">RANDBETWEEN(1,90)/1000</f>
        <v>0.056</v>
      </c>
      <c r="AE32" s="26">
        <f t="shared" si="136"/>
        <v>0.039</v>
      </c>
      <c r="AG32" s="92">
        <f t="array" ref="AG32:AH41">MMULT($Y$6:$AB$15,AD32:AE35)</f>
        <v>0.176272</v>
      </c>
      <c r="AH32" s="23">
        <v>0.12282399999999999</v>
      </c>
      <c r="AJ32" s="90">
        <f t="shared" ref="AJ32:AS32" si="137">AJ19/SQRT(2)</f>
        <v>0.005542696128</v>
      </c>
      <c r="AK32" s="93">
        <f t="shared" si="137"/>
        <v>0.00180660186</v>
      </c>
      <c r="AL32" s="93">
        <f t="shared" si="137"/>
        <v>0.005887501714</v>
      </c>
      <c r="AM32" s="93">
        <f t="shared" si="137"/>
        <v>0.00577151205</v>
      </c>
      <c r="AN32" s="93">
        <f t="shared" si="137"/>
        <v>0.005829708464</v>
      </c>
      <c r="AO32" s="93">
        <f t="shared" si="137"/>
        <v>0.001565069058</v>
      </c>
      <c r="AP32" s="93">
        <f t="shared" si="137"/>
        <v>0.005752946619</v>
      </c>
      <c r="AQ32" s="93">
        <f t="shared" si="137"/>
        <v>0.005391361144</v>
      </c>
      <c r="AR32" s="93">
        <f t="shared" si="137"/>
        <v>0.0055877063</v>
      </c>
      <c r="AS32" s="91">
        <f t="shared" si="137"/>
        <v>0.00166553669</v>
      </c>
      <c r="AU32" s="71">
        <f t="shared" ref="AU32:BD32" si="138">AJ32+AU19</f>
        <v>0.005542696128</v>
      </c>
      <c r="AV32" s="72">
        <f t="shared" si="138"/>
        <v>0.00180660186</v>
      </c>
      <c r="AW32" s="72">
        <f t="shared" si="138"/>
        <v>0.005887501714</v>
      </c>
      <c r="AX32" s="72">
        <f t="shared" si="138"/>
        <v>0.00577151205</v>
      </c>
      <c r="AY32" s="72">
        <f t="shared" si="138"/>
        <v>0.005829708464</v>
      </c>
      <c r="AZ32" s="72">
        <f t="shared" si="138"/>
        <v>0.001565069058</v>
      </c>
      <c r="BA32" s="72">
        <f t="shared" si="138"/>
        <v>0.005752946619</v>
      </c>
      <c r="BB32" s="72">
        <f t="shared" si="138"/>
        <v>0.005391361144</v>
      </c>
      <c r="BC32" s="72">
        <f t="shared" si="138"/>
        <v>0.0055877063</v>
      </c>
      <c r="BD32" s="73">
        <f t="shared" si="138"/>
        <v>0.00166553669</v>
      </c>
      <c r="BO32" s="5" t="s">
        <v>106</v>
      </c>
      <c r="CD32" s="50">
        <v>2.849212052550942E-4</v>
      </c>
      <c r="CE32" s="51">
        <v>2.849212052550942E-4</v>
      </c>
      <c r="CF32" s="51">
        <v>2.849212052550942E-4</v>
      </c>
      <c r="CG32" s="52">
        <v>2.849212052550942E-4</v>
      </c>
      <c r="CT32" s="53">
        <f t="shared" ref="CT32:DU32" si="139">EXP(CT20)/SUMPRODUCT(EXP($CT20:$DU20))</f>
        <v>0.0298487005</v>
      </c>
      <c r="CU32" s="54">
        <f t="shared" si="139"/>
        <v>0.07915378778</v>
      </c>
      <c r="CV32" s="54">
        <f t="shared" si="139"/>
        <v>0.02788615484</v>
      </c>
      <c r="CW32" s="54">
        <f t="shared" si="139"/>
        <v>0.01923812567</v>
      </c>
      <c r="CX32" s="54">
        <f t="shared" si="139"/>
        <v>0.02325150471</v>
      </c>
      <c r="CY32" s="54">
        <f t="shared" si="139"/>
        <v>0.01685090266</v>
      </c>
      <c r="CZ32" s="54">
        <f t="shared" si="139"/>
        <v>0.02282569386</v>
      </c>
      <c r="DA32" s="54">
        <f t="shared" si="139"/>
        <v>0.006448728285</v>
      </c>
      <c r="DB32" s="54">
        <f t="shared" si="139"/>
        <v>0.01796342657</v>
      </c>
      <c r="DC32" s="54">
        <f t="shared" si="139"/>
        <v>0.02331752374</v>
      </c>
      <c r="DD32" s="54">
        <f t="shared" si="139"/>
        <v>0.02201192414</v>
      </c>
      <c r="DE32" s="54">
        <f t="shared" si="139"/>
        <v>0.0234675941</v>
      </c>
      <c r="DF32" s="54">
        <f t="shared" si="139"/>
        <v>0.02923340043</v>
      </c>
      <c r="DG32" s="54">
        <f t="shared" si="139"/>
        <v>0.03165447775</v>
      </c>
      <c r="DH32" s="54">
        <f t="shared" si="139"/>
        <v>0.03574013752</v>
      </c>
      <c r="DI32" s="54">
        <f t="shared" si="139"/>
        <v>0.03050893783</v>
      </c>
      <c r="DJ32" s="54">
        <f t="shared" si="139"/>
        <v>0.07176135318</v>
      </c>
      <c r="DK32" s="54">
        <f t="shared" si="139"/>
        <v>0.04906465359</v>
      </c>
      <c r="DL32" s="54">
        <f t="shared" si="139"/>
        <v>0.06515530451</v>
      </c>
      <c r="DM32" s="54">
        <f t="shared" si="139"/>
        <v>0.08011724301</v>
      </c>
      <c r="DN32" s="54">
        <f t="shared" si="139"/>
        <v>0.04468390638</v>
      </c>
      <c r="DO32" s="54">
        <f t="shared" si="139"/>
        <v>0.03698747302</v>
      </c>
      <c r="DP32" s="54">
        <f t="shared" si="139"/>
        <v>0.01854238454</v>
      </c>
      <c r="DQ32" s="54">
        <f t="shared" si="139"/>
        <v>0.02551257354</v>
      </c>
      <c r="DR32" s="54">
        <f t="shared" si="139"/>
        <v>0.05230900226</v>
      </c>
      <c r="DS32" s="54">
        <f t="shared" si="139"/>
        <v>0.06860792737</v>
      </c>
      <c r="DT32" s="54">
        <f t="shared" si="139"/>
        <v>0.02577370795</v>
      </c>
      <c r="DU32" s="55">
        <f t="shared" si="139"/>
        <v>0.02208345028</v>
      </c>
    </row>
    <row r="33">
      <c r="A33" s="5" t="s">
        <v>55</v>
      </c>
      <c r="B33" s="33">
        <f t="shared" si="18"/>
        <v>27</v>
      </c>
      <c r="D33" s="34">
        <f t="shared" si="19"/>
        <v>27</v>
      </c>
      <c r="E33" s="94">
        <f t="shared" ref="E33:H33" si="140">RANDBETWEEN(1,99)/100</f>
        <v>0.16</v>
      </c>
      <c r="F33" s="95">
        <f t="shared" si="140"/>
        <v>0.3</v>
      </c>
      <c r="G33" s="95">
        <f t="shared" si="140"/>
        <v>0.08</v>
      </c>
      <c r="H33" s="96">
        <f t="shared" si="140"/>
        <v>0.13</v>
      </c>
      <c r="AD33" s="47">
        <f t="shared" ref="AD33:AE33" si="141">RANDBETWEEN(1,90)/1000</f>
        <v>0.081</v>
      </c>
      <c r="AE33" s="49">
        <f t="shared" si="141"/>
        <v>0.004</v>
      </c>
      <c r="AG33" s="86">
        <v>0.058433</v>
      </c>
      <c r="AH33" s="87">
        <v>0.035498999999999996</v>
      </c>
      <c r="BO33" s="30">
        <f t="shared" ref="BO33:BR33" si="142">BP$28*((BO6-AVERAGE($BO6:$BR6))/(sqrt(VARP($BO6:$BR6)+0.00001)))+BP$29</f>
        <v>1.066341541</v>
      </c>
      <c r="BP33" s="31">
        <f t="shared" si="142"/>
        <v>0.8772004314</v>
      </c>
      <c r="BQ33" s="31">
        <f t="shared" si="142"/>
        <v>-1.342753498</v>
      </c>
      <c r="BR33" s="32">
        <f t="shared" si="142"/>
        <v>-0.3070602362</v>
      </c>
      <c r="CD33" s="50">
        <v>0.0</v>
      </c>
      <c r="CE33" s="51">
        <v>0.0</v>
      </c>
      <c r="CF33" s="51">
        <v>0.0</v>
      </c>
      <c r="CG33" s="52">
        <v>0.0</v>
      </c>
      <c r="CT33" s="77">
        <f t="shared" ref="CT33:DU33" si="143">EXP(CT21)/SUMPRODUCT(EXP($CT21:$DU21))</f>
        <v>0.04824955912</v>
      </c>
      <c r="CU33" s="78">
        <f t="shared" si="143"/>
        <v>0.1019258389</v>
      </c>
      <c r="CV33" s="78">
        <f t="shared" si="143"/>
        <v>0.02373804192</v>
      </c>
      <c r="CW33" s="78">
        <f t="shared" si="143"/>
        <v>0.02009817975</v>
      </c>
      <c r="CX33" s="78">
        <f t="shared" si="143"/>
        <v>0.02256697421</v>
      </c>
      <c r="CY33" s="78">
        <f t="shared" si="143"/>
        <v>0.01317551975</v>
      </c>
      <c r="CZ33" s="78">
        <f t="shared" si="143"/>
        <v>0.03005961374</v>
      </c>
      <c r="DA33" s="78">
        <f t="shared" si="143"/>
        <v>0.007221770424</v>
      </c>
      <c r="DB33" s="78">
        <f t="shared" si="143"/>
        <v>0.01747478959</v>
      </c>
      <c r="DC33" s="78">
        <f t="shared" si="143"/>
        <v>0.01723556978</v>
      </c>
      <c r="DD33" s="78">
        <f t="shared" si="143"/>
        <v>0.02400066691</v>
      </c>
      <c r="DE33" s="78">
        <f t="shared" si="143"/>
        <v>0.02166876366</v>
      </c>
      <c r="DF33" s="78">
        <f t="shared" si="143"/>
        <v>0.02510540517</v>
      </c>
      <c r="DG33" s="78">
        <f t="shared" si="143"/>
        <v>0.03457356068</v>
      </c>
      <c r="DH33" s="78">
        <f t="shared" si="143"/>
        <v>0.04156035867</v>
      </c>
      <c r="DI33" s="78">
        <f t="shared" si="143"/>
        <v>0.02923240014</v>
      </c>
      <c r="DJ33" s="78">
        <f t="shared" si="143"/>
        <v>0.08558095816</v>
      </c>
      <c r="DK33" s="78">
        <f t="shared" si="143"/>
        <v>0.03462356278</v>
      </c>
      <c r="DL33" s="78">
        <f t="shared" si="143"/>
        <v>0.04433250371</v>
      </c>
      <c r="DM33" s="78">
        <f t="shared" si="143"/>
        <v>0.07277039259</v>
      </c>
      <c r="DN33" s="78">
        <f t="shared" si="143"/>
        <v>0.0353253486</v>
      </c>
      <c r="DO33" s="78">
        <f t="shared" si="143"/>
        <v>0.03451506449</v>
      </c>
      <c r="DP33" s="78">
        <f t="shared" si="143"/>
        <v>0.01972907621</v>
      </c>
      <c r="DQ33" s="78">
        <f t="shared" si="143"/>
        <v>0.024375538</v>
      </c>
      <c r="DR33" s="78">
        <f t="shared" si="143"/>
        <v>0.04416204534</v>
      </c>
      <c r="DS33" s="78">
        <f t="shared" si="143"/>
        <v>0.07696126788</v>
      </c>
      <c r="DT33" s="78">
        <f t="shared" si="143"/>
        <v>0.02609604424</v>
      </c>
      <c r="DU33" s="79">
        <f t="shared" si="143"/>
        <v>0.02364118559</v>
      </c>
    </row>
    <row r="34">
      <c r="AD34" s="47">
        <f t="shared" ref="AD34:AE34" si="144">RANDBETWEEN(1,90)/1000</f>
        <v>0.058</v>
      </c>
      <c r="AE34" s="49">
        <f t="shared" si="144"/>
        <v>0.078</v>
      </c>
      <c r="AG34" s="86">
        <v>0.184251</v>
      </c>
      <c r="AH34" s="87">
        <v>0.155395</v>
      </c>
      <c r="AU34" s="5" t="s">
        <v>107</v>
      </c>
      <c r="BO34" s="53">
        <f t="shared" ref="BO34:BR34" si="145">BP$28*((BO7-AVERAGE($BO7:$BR7))/(sqrt(VARP($BO7:$BR7)+0.00001)))+BP$29</f>
        <v>0.6553318043</v>
      </c>
      <c r="BP34" s="54">
        <f t="shared" si="145"/>
        <v>1.537527746</v>
      </c>
      <c r="BQ34" s="54">
        <f t="shared" si="145"/>
        <v>-0.9140719403</v>
      </c>
      <c r="BR34" s="55">
        <f t="shared" si="145"/>
        <v>-0.9226361034</v>
      </c>
      <c r="CD34" s="50">
        <v>1.8901209577587368E-4</v>
      </c>
      <c r="CE34" s="51">
        <v>1.8901209577587368E-4</v>
      </c>
      <c r="CF34" s="51">
        <v>1.8901209577587368E-4</v>
      </c>
      <c r="CG34" s="52">
        <v>1.8901209577587368E-4</v>
      </c>
    </row>
    <row r="35">
      <c r="AD35" s="56">
        <f t="shared" ref="AD35:AE35" si="146">RANDBETWEEN(1,90)/1000</f>
        <v>0.059</v>
      </c>
      <c r="AE35" s="58">
        <f t="shared" si="146"/>
        <v>0.077</v>
      </c>
      <c r="AG35" s="86">
        <v>0.178131</v>
      </c>
      <c r="AH35" s="87">
        <v>0.128158</v>
      </c>
      <c r="AU35" s="21">
        <f t="shared" ref="AU35:BD35" si="147">EXP(AU23)/SUMPRODUCT(EXP($AU23:$BD23))</f>
        <v>1</v>
      </c>
      <c r="AV35" s="22">
        <f t="shared" si="147"/>
        <v>0</v>
      </c>
      <c r="AW35" s="22">
        <f t="shared" si="147"/>
        <v>0</v>
      </c>
      <c r="AX35" s="22">
        <f t="shared" si="147"/>
        <v>0</v>
      </c>
      <c r="AY35" s="22">
        <f t="shared" si="147"/>
        <v>0</v>
      </c>
      <c r="AZ35" s="22">
        <f t="shared" si="147"/>
        <v>0</v>
      </c>
      <c r="BA35" s="22">
        <f t="shared" si="147"/>
        <v>0</v>
      </c>
      <c r="BB35" s="22">
        <f t="shared" si="147"/>
        <v>0</v>
      </c>
      <c r="BC35" s="22">
        <f t="shared" si="147"/>
        <v>0</v>
      </c>
      <c r="BD35" s="23">
        <f t="shared" si="147"/>
        <v>0</v>
      </c>
      <c r="BO35" s="53">
        <f t="shared" ref="BO35:BR35" si="148">BP$28*((BO8-AVERAGE($BO8:$BR8))/(sqrt(VARP($BO8:$BR8)+0.00001)))+BP$29</f>
        <v>0.9986791698</v>
      </c>
      <c r="BP35" s="54">
        <f t="shared" si="148"/>
        <v>-1.085364256</v>
      </c>
      <c r="BQ35" s="54">
        <f t="shared" si="148"/>
        <v>-0.9954309077</v>
      </c>
      <c r="BR35" s="55">
        <f t="shared" si="148"/>
        <v>1.010158719</v>
      </c>
      <c r="CD35" s="50">
        <v>2.1710519720015222E-4</v>
      </c>
      <c r="CE35" s="51">
        <v>2.1710519720015222E-4</v>
      </c>
      <c r="CF35" s="51">
        <v>2.1710519720015222E-4</v>
      </c>
      <c r="CG35" s="52">
        <v>2.1710519720015222E-4</v>
      </c>
      <c r="CT35" s="97" t="s">
        <v>108</v>
      </c>
    </row>
    <row r="36">
      <c r="AG36" s="86">
        <v>0.181282</v>
      </c>
      <c r="AH36" s="87">
        <v>0.129765</v>
      </c>
      <c r="AU36" s="44">
        <f t="shared" ref="AU36:BD36" si="149">EXP(AU24)/SUMPRODUCT(EXP($AU24:$BD24))</f>
        <v>0.5009814453</v>
      </c>
      <c r="AV36" s="45">
        <f t="shared" si="149"/>
        <v>0.4990185547</v>
      </c>
      <c r="AW36" s="45">
        <f t="shared" si="149"/>
        <v>0</v>
      </c>
      <c r="AX36" s="45">
        <f t="shared" si="149"/>
        <v>0</v>
      </c>
      <c r="AY36" s="45">
        <f t="shared" si="149"/>
        <v>0</v>
      </c>
      <c r="AZ36" s="45">
        <f t="shared" si="149"/>
        <v>0</v>
      </c>
      <c r="BA36" s="45">
        <f t="shared" si="149"/>
        <v>0</v>
      </c>
      <c r="BB36" s="45">
        <f t="shared" si="149"/>
        <v>0</v>
      </c>
      <c r="BC36" s="45">
        <f t="shared" si="149"/>
        <v>0</v>
      </c>
      <c r="BD36" s="46">
        <f t="shared" si="149"/>
        <v>0</v>
      </c>
      <c r="BO36" s="53">
        <f t="shared" ref="BO36:BR36" si="150">BP$28*((BO9-AVERAGE($BO9:$BR9))/(sqrt(VARP($BO9:$BR9)+0.00001)))+BP$29</f>
        <v>1.309884055</v>
      </c>
      <c r="BP36" s="54">
        <f t="shared" si="150"/>
        <v>0.649728673</v>
      </c>
      <c r="BQ36" s="54">
        <f t="shared" si="150"/>
        <v>-1.166793068</v>
      </c>
      <c r="BR36" s="55">
        <f t="shared" si="150"/>
        <v>-0.5565545403</v>
      </c>
      <c r="CD36" s="50">
        <v>3.186865907967211E-4</v>
      </c>
      <c r="CE36" s="51">
        <v>3.186865907967211E-4</v>
      </c>
      <c r="CF36" s="51">
        <v>3.186865907967211E-4</v>
      </c>
      <c r="CG36" s="52">
        <v>3.186865907967211E-4</v>
      </c>
      <c r="CT36" s="5" t="s">
        <v>109</v>
      </c>
      <c r="CV36" s="5" t="s">
        <v>110</v>
      </c>
      <c r="CX36" s="98" t="s">
        <v>111</v>
      </c>
      <c r="CY36" s="98" t="s">
        <v>112</v>
      </c>
      <c r="DA36" s="36" t="s">
        <v>113</v>
      </c>
      <c r="DB36" s="36" t="s">
        <v>114</v>
      </c>
    </row>
    <row r="37">
      <c r="AG37" s="86">
        <v>0.055349</v>
      </c>
      <c r="AH37" s="87">
        <v>0.028038</v>
      </c>
      <c r="AU37" s="44">
        <f t="shared" ref="AU37:BD37" si="151">EXP(AU25)/SUMPRODUCT(EXP($AU25:$BD25))</f>
        <v>0.3349225024</v>
      </c>
      <c r="AV37" s="45">
        <f t="shared" si="151"/>
        <v>0.3297660018</v>
      </c>
      <c r="AW37" s="45">
        <f t="shared" si="151"/>
        <v>0.3353114957</v>
      </c>
      <c r="AX37" s="45">
        <f t="shared" si="151"/>
        <v>0</v>
      </c>
      <c r="AY37" s="45">
        <f t="shared" si="151"/>
        <v>0</v>
      </c>
      <c r="AZ37" s="45">
        <f t="shared" si="151"/>
        <v>0</v>
      </c>
      <c r="BA37" s="45">
        <f t="shared" si="151"/>
        <v>0</v>
      </c>
      <c r="BB37" s="45">
        <f t="shared" si="151"/>
        <v>0</v>
      </c>
      <c r="BC37" s="45">
        <f t="shared" si="151"/>
        <v>0</v>
      </c>
      <c r="BD37" s="46">
        <f t="shared" si="151"/>
        <v>0</v>
      </c>
      <c r="BO37" s="53">
        <f t="shared" ref="BO37:BR37" si="152">BP$28*((BO10-AVERAGE($BO10:$BR10))/(sqrt(VARP($BO10:$BR10)+0.00001)))+BP$29</f>
        <v>1.183165573</v>
      </c>
      <c r="BP37" s="54">
        <f t="shared" si="152"/>
        <v>0.8078854892</v>
      </c>
      <c r="BQ37" s="54">
        <f t="shared" si="152"/>
        <v>-1.245605235</v>
      </c>
      <c r="BR37" s="55">
        <f t="shared" si="152"/>
        <v>-0.4740643307</v>
      </c>
      <c r="CD37" s="50">
        <v>0.0</v>
      </c>
      <c r="CE37" s="51">
        <v>0.0</v>
      </c>
      <c r="CF37" s="51">
        <v>0.0</v>
      </c>
      <c r="CG37" s="52">
        <v>0.0</v>
      </c>
      <c r="CT37" s="54">
        <f t="shared" ref="CT37:CT46" si="155">index($CT24:$DU24,CX37+1)</f>
        <v>0.02163098934</v>
      </c>
      <c r="CV37" s="99">
        <f t="shared" ref="CV37:CV46" si="156">-log(CT37)</f>
        <v>1.664923617</v>
      </c>
      <c r="CX37" s="100">
        <f t="shared" ref="CX37:CX46" si="157">vlookup(CY37,$A$6:$B$33,2,)</f>
        <v>27</v>
      </c>
      <c r="CY37" s="101" t="s">
        <v>55</v>
      </c>
      <c r="DA37" s="4" t="str">
        <v>one</v>
      </c>
      <c r="DB37" s="4">
        <v>0</v>
      </c>
    </row>
    <row r="38">
      <c r="AG38" s="86">
        <v>0.179814</v>
      </c>
      <c r="AH38" s="87">
        <v>0.15115</v>
      </c>
      <c r="AU38" s="44">
        <f t="shared" ref="AU38:BD38" si="153">EXP(AU26)/SUMPRODUCT(EXP($AU26:$BD26))</f>
        <v>0.2506967753</v>
      </c>
      <c r="AV38" s="45">
        <f t="shared" si="153"/>
        <v>0.2474474315</v>
      </c>
      <c r="AW38" s="45">
        <f t="shared" si="153"/>
        <v>0.2509567941</v>
      </c>
      <c r="AX38" s="45">
        <f t="shared" si="153"/>
        <v>0.2508989991</v>
      </c>
      <c r="AY38" s="45">
        <f t="shared" si="153"/>
        <v>0</v>
      </c>
      <c r="AZ38" s="45">
        <f t="shared" si="153"/>
        <v>0</v>
      </c>
      <c r="BA38" s="45">
        <f t="shared" si="153"/>
        <v>0</v>
      </c>
      <c r="BB38" s="45">
        <f t="shared" si="153"/>
        <v>0</v>
      </c>
      <c r="BC38" s="45">
        <f t="shared" si="153"/>
        <v>0</v>
      </c>
      <c r="BD38" s="46">
        <f t="shared" si="153"/>
        <v>0</v>
      </c>
      <c r="BO38" s="53">
        <f t="shared" ref="BO38:BR38" si="154">BP$28*((BO11-AVERAGE($BO11:$BR11))/(sqrt(VARP($BO11:$BR11)+0.00001)))+BP$29</f>
        <v>0.4026918333</v>
      </c>
      <c r="BP38" s="54">
        <f t="shared" si="154"/>
        <v>1.695449252</v>
      </c>
      <c r="BQ38" s="54">
        <f t="shared" si="154"/>
        <v>-1.057050268</v>
      </c>
      <c r="BR38" s="55">
        <f t="shared" si="154"/>
        <v>-0.6427325789</v>
      </c>
      <c r="CD38" s="50">
        <v>1.0680448539383934E-4</v>
      </c>
      <c r="CE38" s="51">
        <v>1.0680448539383934E-4</v>
      </c>
      <c r="CF38" s="51">
        <v>1.0680448539383934E-4</v>
      </c>
      <c r="CG38" s="52">
        <v>1.0680448539383934E-4</v>
      </c>
      <c r="CT38" s="54">
        <f t="shared" si="155"/>
        <v>0.0659616238</v>
      </c>
      <c r="CV38" s="99">
        <f t="shared" si="156"/>
        <v>1.180708662</v>
      </c>
      <c r="CX38" s="100">
        <f t="shared" si="157"/>
        <v>19</v>
      </c>
      <c r="CY38" s="101" t="s">
        <v>62</v>
      </c>
      <c r="DA38" s="4" t="str">
        <v>hundred</v>
      </c>
      <c r="DB38" s="4">
        <v>27</v>
      </c>
    </row>
    <row r="39">
      <c r="AG39" s="86">
        <v>0.161281</v>
      </c>
      <c r="AH39" s="87">
        <v>0.11316699999999999</v>
      </c>
      <c r="AU39" s="44">
        <f t="shared" ref="AU39:BD39" si="158">EXP(AU27)/SUMPRODUCT(EXP($AU27:$BD27))</f>
        <v>0.2004126117</v>
      </c>
      <c r="AV39" s="45">
        <f t="shared" si="158"/>
        <v>0.1977655455</v>
      </c>
      <c r="AW39" s="45">
        <f t="shared" si="158"/>
        <v>0.2006246124</v>
      </c>
      <c r="AX39" s="45">
        <f t="shared" si="158"/>
        <v>0.2005773679</v>
      </c>
      <c r="AY39" s="45">
        <f t="shared" si="158"/>
        <v>0.2006198626</v>
      </c>
      <c r="AZ39" s="45">
        <f t="shared" si="158"/>
        <v>0</v>
      </c>
      <c r="BA39" s="45">
        <f t="shared" si="158"/>
        <v>0</v>
      </c>
      <c r="BB39" s="45">
        <f t="shared" si="158"/>
        <v>0</v>
      </c>
      <c r="BC39" s="45">
        <f t="shared" si="158"/>
        <v>0</v>
      </c>
      <c r="BD39" s="46">
        <f t="shared" si="158"/>
        <v>0</v>
      </c>
      <c r="BO39" s="53">
        <f t="shared" ref="BO39:BR39" si="159">BP$28*((BO12-AVERAGE($BO12:$BR12))/(sqrt(VARP($BO12:$BR12)+0.00001)))+BP$29</f>
        <v>1.023245191</v>
      </c>
      <c r="BP39" s="54">
        <f t="shared" si="159"/>
        <v>-1.077600895</v>
      </c>
      <c r="BQ39" s="54">
        <f t="shared" si="159"/>
        <v>-1.000529597</v>
      </c>
      <c r="BR39" s="55">
        <f t="shared" si="159"/>
        <v>0.9847884407</v>
      </c>
      <c r="CD39" s="50">
        <v>2.7488777427905523E-4</v>
      </c>
      <c r="CE39" s="51">
        <v>2.7488777427905523E-4</v>
      </c>
      <c r="CF39" s="51">
        <v>2.7488777427905523E-4</v>
      </c>
      <c r="CG39" s="52">
        <v>2.7488777427905523E-4</v>
      </c>
      <c r="CT39" s="54">
        <f t="shared" si="155"/>
        <v>0.006799728966</v>
      </c>
      <c r="CV39" s="99">
        <f t="shared" si="156"/>
        <v>2.167508398</v>
      </c>
      <c r="CX39" s="100">
        <f t="shared" si="157"/>
        <v>0</v>
      </c>
      <c r="CY39" s="101" t="s">
        <v>49</v>
      </c>
      <c r="DA39" s="4" t="str">
        <v>twenty</v>
      </c>
      <c r="DB39" s="4">
        <v>19</v>
      </c>
    </row>
    <row r="40">
      <c r="AG40" s="86">
        <v>0.175456</v>
      </c>
      <c r="AH40" s="87">
        <v>0.12436900000000001</v>
      </c>
      <c r="AU40" s="44">
        <f t="shared" ref="AU40:BD40" si="160">EXP(AU28)/SUMPRODUCT(EXP($AU28:$BD28))</f>
        <v>0.1668487295</v>
      </c>
      <c r="AV40" s="45">
        <f t="shared" si="160"/>
        <v>0.166253304</v>
      </c>
      <c r="AW40" s="45">
        <f t="shared" si="160"/>
        <v>0.1669031794</v>
      </c>
      <c r="AX40" s="45">
        <f t="shared" si="160"/>
        <v>0.1668852921</v>
      </c>
      <c r="AY40" s="45">
        <f t="shared" si="160"/>
        <v>0.1668946028</v>
      </c>
      <c r="AZ40" s="45">
        <f t="shared" si="160"/>
        <v>0.1662148922</v>
      </c>
      <c r="BA40" s="45">
        <f t="shared" si="160"/>
        <v>0</v>
      </c>
      <c r="BB40" s="45">
        <f t="shared" si="160"/>
        <v>0</v>
      </c>
      <c r="BC40" s="45">
        <f t="shared" si="160"/>
        <v>0</v>
      </c>
      <c r="BD40" s="46">
        <f t="shared" si="160"/>
        <v>0</v>
      </c>
      <c r="BO40" s="53">
        <f t="shared" ref="BO40:BR40" si="161">BP$28*((BO13-AVERAGE($BO13:$BR13))/(sqrt(VARP($BO13:$BR13)+0.00001)))+BP$29</f>
        <v>-1.387385119</v>
      </c>
      <c r="BP40" s="54">
        <f t="shared" si="161"/>
        <v>1.286418526</v>
      </c>
      <c r="BQ40" s="54">
        <f t="shared" si="161"/>
        <v>0.7130773284</v>
      </c>
      <c r="BR40" s="55">
        <f t="shared" si="161"/>
        <v>-0.4786051283</v>
      </c>
      <c r="CD40" s="74">
        <v>3.1106074941382634E-4</v>
      </c>
      <c r="CE40" s="75">
        <v>3.1106074941382634E-4</v>
      </c>
      <c r="CF40" s="75">
        <v>3.1106074941382634E-4</v>
      </c>
      <c r="CG40" s="76">
        <v>3.1106074941382634E-4</v>
      </c>
      <c r="CT40" s="54">
        <f t="shared" si="155"/>
        <v>0.02360385756</v>
      </c>
      <c r="CV40" s="99">
        <f t="shared" si="156"/>
        <v>1.627017015</v>
      </c>
      <c r="CX40" s="100">
        <f t="shared" si="157"/>
        <v>0</v>
      </c>
      <c r="CY40" s="101" t="s">
        <v>49</v>
      </c>
      <c r="DA40" s="4" t="str">
        <v>one</v>
      </c>
      <c r="DB40" s="4">
        <v>0</v>
      </c>
    </row>
    <row r="41">
      <c r="AG41" s="90">
        <v>0.058635999999999994</v>
      </c>
      <c r="AH41" s="91">
        <v>0.029112</v>
      </c>
      <c r="AU41" s="44">
        <f t="shared" ref="AU41:BD41" si="162">EXP(AU29)/SUMPRODUCT(EXP($AU29:$BD29))</f>
        <v>0.143411538</v>
      </c>
      <c r="AV41" s="45">
        <f t="shared" si="162"/>
        <v>0.1412641256</v>
      </c>
      <c r="AW41" s="45">
        <f t="shared" si="162"/>
        <v>0.1435736834</v>
      </c>
      <c r="AX41" s="45">
        <f t="shared" si="162"/>
        <v>0.1435457598</v>
      </c>
      <c r="AY41" s="45">
        <f t="shared" si="162"/>
        <v>0.1435805471</v>
      </c>
      <c r="AZ41" s="45">
        <f t="shared" si="162"/>
        <v>0.1411269188</v>
      </c>
      <c r="BA41" s="45">
        <f t="shared" si="162"/>
        <v>0.1434974273</v>
      </c>
      <c r="BB41" s="45">
        <f t="shared" si="162"/>
        <v>0</v>
      </c>
      <c r="BC41" s="45">
        <f t="shared" si="162"/>
        <v>0</v>
      </c>
      <c r="BD41" s="46">
        <f t="shared" si="162"/>
        <v>0</v>
      </c>
      <c r="BO41" s="53">
        <f t="shared" ref="BO41:BR41" si="163">BP$28*((BO14-AVERAGE($BO14:$BR14))/(sqrt(VARP($BO14:$BR14)+0.00001)))+BP$29</f>
        <v>0.8494552289</v>
      </c>
      <c r="BP41" s="54">
        <f t="shared" si="163"/>
        <v>1.215098792</v>
      </c>
      <c r="BQ41" s="54">
        <f t="shared" si="163"/>
        <v>-1.284839272</v>
      </c>
      <c r="BR41" s="55">
        <f t="shared" si="163"/>
        <v>-0.4361050307</v>
      </c>
      <c r="CT41" s="54">
        <f t="shared" si="155"/>
        <v>0.02207697562</v>
      </c>
      <c r="CV41" s="99">
        <f t="shared" si="156"/>
        <v>1.656060422</v>
      </c>
      <c r="CX41" s="100">
        <f t="shared" si="157"/>
        <v>27</v>
      </c>
      <c r="CY41" s="101" t="s">
        <v>55</v>
      </c>
      <c r="DA41" s="4" t="str">
        <v>one</v>
      </c>
      <c r="DB41" s="4">
        <v>0</v>
      </c>
    </row>
    <row r="42">
      <c r="AU42" s="44">
        <f t="shared" ref="AU42:BD42" si="164">EXP(AU30)/SUMPRODUCT(EXP($AU30:$BD30))</f>
        <v>0.1253036298</v>
      </c>
      <c r="AV42" s="45">
        <f t="shared" si="164"/>
        <v>0.1239672236</v>
      </c>
      <c r="AW42" s="45">
        <f t="shared" si="164"/>
        <v>0.125403708</v>
      </c>
      <c r="AX42" s="45">
        <f t="shared" si="164"/>
        <v>0.1253869935</v>
      </c>
      <c r="AY42" s="45">
        <f t="shared" si="164"/>
        <v>0.1254086057</v>
      </c>
      <c r="AZ42" s="45">
        <f t="shared" si="164"/>
        <v>0.1238816444</v>
      </c>
      <c r="BA42" s="45">
        <f t="shared" si="164"/>
        <v>0.125356394</v>
      </c>
      <c r="BB42" s="45">
        <f t="shared" si="164"/>
        <v>0.1252918009</v>
      </c>
      <c r="BC42" s="45">
        <f t="shared" si="164"/>
        <v>0</v>
      </c>
      <c r="BD42" s="46">
        <f t="shared" si="164"/>
        <v>0</v>
      </c>
      <c r="BO42" s="77">
        <f t="shared" ref="BO42:BR42" si="165">BP$28*((BO15-AVERAGE($BO15:$BR15))/(sqrt(VARP($BO15:$BR15)+0.00001)))+BP$29</f>
        <v>0.4636358735</v>
      </c>
      <c r="BP42" s="78">
        <f t="shared" si="165"/>
        <v>1.670866642</v>
      </c>
      <c r="BQ42" s="78">
        <f t="shared" si="165"/>
        <v>-1.008133467</v>
      </c>
      <c r="BR42" s="79">
        <f t="shared" si="165"/>
        <v>-0.7375431119</v>
      </c>
      <c r="CT42" s="54">
        <f t="shared" si="155"/>
        <v>0.07591357324</v>
      </c>
      <c r="CV42" s="99">
        <f t="shared" si="156"/>
        <v>1.119680566</v>
      </c>
      <c r="CX42" s="100">
        <f t="shared" si="157"/>
        <v>19</v>
      </c>
      <c r="CY42" s="101" t="s">
        <v>62</v>
      </c>
      <c r="DA42" s="4" t="str">
        <v>hundred</v>
      </c>
      <c r="DB42" s="4">
        <v>27</v>
      </c>
    </row>
    <row r="43">
      <c r="AU43" s="44">
        <f t="shared" ref="AU43:BD43" si="166">EXP(AU31)/SUMPRODUCT(EXP($AU31:$BD31))</f>
        <v>0.1113958315</v>
      </c>
      <c r="AV43" s="45">
        <f t="shared" si="166"/>
        <v>0.1099744792</v>
      </c>
      <c r="AW43" s="45">
        <f t="shared" si="166"/>
        <v>0.1115096446</v>
      </c>
      <c r="AX43" s="45">
        <f t="shared" si="166"/>
        <v>0.1114842764</v>
      </c>
      <c r="AY43" s="45">
        <f t="shared" si="166"/>
        <v>0.111507088</v>
      </c>
      <c r="AZ43" s="45">
        <f t="shared" si="166"/>
        <v>0.1098834649</v>
      </c>
      <c r="BA43" s="45">
        <f t="shared" si="166"/>
        <v>0.1114589266</v>
      </c>
      <c r="BB43" s="45">
        <f t="shared" si="166"/>
        <v>0.1113703603</v>
      </c>
      <c r="BC43" s="45">
        <f t="shared" si="166"/>
        <v>0.1114159286</v>
      </c>
      <c r="BD43" s="46">
        <f t="shared" si="166"/>
        <v>0</v>
      </c>
      <c r="CT43" s="54">
        <f t="shared" si="155"/>
        <v>0.01272997138</v>
      </c>
      <c r="CV43" s="99">
        <f t="shared" si="156"/>
        <v>1.895172573</v>
      </c>
      <c r="CX43" s="100">
        <f t="shared" si="157"/>
        <v>1</v>
      </c>
      <c r="CY43" s="101" t="s">
        <v>54</v>
      </c>
      <c r="DA43" s="4" t="str">
        <v>twenty</v>
      </c>
      <c r="DB43" s="4">
        <v>19</v>
      </c>
    </row>
    <row r="44">
      <c r="AU44" s="71">
        <f t="shared" ref="AU44:BD44" si="167">EXP(AU32)/SUMPRODUCT(EXP($AU32:$BD32))</f>
        <v>0.1001061504</v>
      </c>
      <c r="AV44" s="72">
        <f t="shared" si="167"/>
        <v>0.09973284216</v>
      </c>
      <c r="AW44" s="72">
        <f t="shared" si="167"/>
        <v>0.1001406735</v>
      </c>
      <c r="AX44" s="72">
        <f t="shared" si="167"/>
        <v>0.1001290589</v>
      </c>
      <c r="AY44" s="72">
        <f t="shared" si="167"/>
        <v>0.1001348862</v>
      </c>
      <c r="AZ44" s="72">
        <f t="shared" si="167"/>
        <v>0.09970875632</v>
      </c>
      <c r="BA44" s="72">
        <f t="shared" si="167"/>
        <v>0.1001272</v>
      </c>
      <c r="BB44" s="72">
        <f t="shared" si="167"/>
        <v>0.100091002</v>
      </c>
      <c r="BC44" s="72">
        <f t="shared" si="167"/>
        <v>0.1001106563</v>
      </c>
      <c r="BD44" s="73">
        <f t="shared" si="167"/>
        <v>0.09971877432</v>
      </c>
      <c r="CT44" s="54">
        <f t="shared" si="155"/>
        <v>0.113101166</v>
      </c>
      <c r="CV44" s="99">
        <f t="shared" si="156"/>
        <v>0.9465329176</v>
      </c>
      <c r="CX44" s="100">
        <f t="shared" si="157"/>
        <v>0</v>
      </c>
      <c r="CY44" s="101" t="s">
        <v>49</v>
      </c>
      <c r="DA44" s="4" t="str">
        <v>two</v>
      </c>
      <c r="DB44" s="4">
        <v>1</v>
      </c>
    </row>
    <row r="45">
      <c r="CT45" s="54">
        <f t="shared" si="155"/>
        <v>0.02208345028</v>
      </c>
      <c r="CV45" s="99">
        <f t="shared" si="156"/>
        <v>1.655933072</v>
      </c>
      <c r="CX45" s="100">
        <f t="shared" si="157"/>
        <v>27</v>
      </c>
      <c r="CY45" s="101" t="s">
        <v>55</v>
      </c>
      <c r="DA45" s="4" t="str">
        <v>one</v>
      </c>
      <c r="DB45" s="4">
        <v>0</v>
      </c>
    </row>
    <row r="46">
      <c r="AU46" s="5" t="s">
        <v>115</v>
      </c>
      <c r="CT46" s="54">
        <f t="shared" si="155"/>
        <v>0.07277039259</v>
      </c>
      <c r="CV46" s="99">
        <f t="shared" si="156"/>
        <v>1.138045282</v>
      </c>
      <c r="CX46" s="100">
        <f t="shared" si="157"/>
        <v>19</v>
      </c>
      <c r="CY46" s="101" t="s">
        <v>62</v>
      </c>
      <c r="DA46" s="4" t="str">
        <v>hundred</v>
      </c>
      <c r="DB46" s="4">
        <v>27</v>
      </c>
    </row>
    <row r="47">
      <c r="AU47" s="21">
        <f t="array" ref="AU47:AV56">MMULT(AU35:BD44,AG32:AH41)</f>
        <v>0.176272</v>
      </c>
      <c r="AV47" s="23">
        <v>0.12282399999999999</v>
      </c>
    </row>
    <row r="48">
      <c r="AU48" s="44">
        <v>0.11746815253082495</v>
      </c>
      <c r="AV48" s="46">
        <v>0.079247204709428</v>
      </c>
      <c r="CT48" s="5" t="s">
        <v>116</v>
      </c>
      <c r="CV48" s="99">
        <f>average(CV37:CV46)</f>
        <v>1.505158252</v>
      </c>
    </row>
    <row r="49">
      <c r="AU49" s="44">
        <v>0.1400881545354853</v>
      </c>
      <c r="AV49" s="46">
        <v>0.10494861461825669</v>
      </c>
    </row>
    <row r="50">
      <c r="AU50" s="44">
        <v>0.14958184761694623</v>
      </c>
      <c r="AV50" s="46">
        <v>0.11072786204496828</v>
      </c>
      <c r="CT50" s="97" t="s">
        <v>117</v>
      </c>
    </row>
    <row r="51">
      <c r="AU51" s="44">
        <v>0.1559462685052782</v>
      </c>
      <c r="AV51" s="46">
        <v>0.1145510501367353</v>
      </c>
      <c r="DA51" s="36" t="s">
        <v>113</v>
      </c>
      <c r="DB51" s="36" t="s">
        <v>114</v>
      </c>
    </row>
    <row r="52">
      <c r="AU52" s="44">
        <v>0.13905977567659394</v>
      </c>
      <c r="AV52" s="46">
        <v>0.10003587048911027</v>
      </c>
      <c r="DA52" s="4" t="str">
        <v>one</v>
      </c>
      <c r="DB52" s="4">
        <v>0</v>
      </c>
    </row>
    <row r="53">
      <c r="AU53" s="44">
        <v>0.14520011871494473</v>
      </c>
      <c r="AV53" s="46">
        <v>0.10761456633134257</v>
      </c>
      <c r="DA53" s="4" t="str">
        <v>hundred</v>
      </c>
      <c r="DB53" s="4">
        <v>27</v>
      </c>
    </row>
    <row r="54">
      <c r="AU54" s="44">
        <v>0.14711143692822876</v>
      </c>
      <c r="AV54" s="46">
        <v>0.10822101847191745</v>
      </c>
      <c r="DA54" s="4" t="str">
        <v>twenty</v>
      </c>
      <c r="DB54" s="4">
        <v>19</v>
      </c>
    </row>
    <row r="55">
      <c r="AU55" s="44">
        <v>0.1503152334114753</v>
      </c>
      <c r="AV55" s="46">
        <v>0.1100594925633491</v>
      </c>
      <c r="DA55" s="4" t="str">
        <v>one</v>
      </c>
      <c r="DB55" s="4">
        <v>0</v>
      </c>
    </row>
    <row r="56">
      <c r="AU56" s="71">
        <v>0.1409913161061639</v>
      </c>
      <c r="AV56" s="73">
        <v>0.10183409134819965</v>
      </c>
      <c r="DA56" s="4" t="str">
        <v>one</v>
      </c>
      <c r="DB56" s="4">
        <v>0</v>
      </c>
    </row>
    <row r="57">
      <c r="DA57" s="4" t="str">
        <v>hundred</v>
      </c>
      <c r="DB57" s="4">
        <v>27</v>
      </c>
    </row>
    <row r="58">
      <c r="DA58" s="4" t="str">
        <v>twenty</v>
      </c>
      <c r="DB58" s="4">
        <v>19</v>
      </c>
    </row>
    <row r="59">
      <c r="AD59" s="19" t="s">
        <v>118</v>
      </c>
      <c r="AI59" s="20"/>
      <c r="AJ59" s="19" t="s">
        <v>119</v>
      </c>
      <c r="AT59" s="20"/>
      <c r="AU59" s="19" t="s">
        <v>120</v>
      </c>
      <c r="DA59" s="4" t="str">
        <v>two</v>
      </c>
      <c r="DB59" s="4">
        <v>1</v>
      </c>
    </row>
    <row r="60">
      <c r="AD60" s="5" t="s">
        <v>121</v>
      </c>
      <c r="AG60" s="5" t="s">
        <v>122</v>
      </c>
      <c r="AJ60" s="5" t="s">
        <v>123</v>
      </c>
      <c r="AU60" s="6" t="s">
        <v>59</v>
      </c>
      <c r="CT60" s="7" t="s">
        <v>124</v>
      </c>
      <c r="CU60" s="102"/>
      <c r="CV60" s="7" t="s">
        <v>125</v>
      </c>
      <c r="DA60" s="4" t="str">
        <v>one</v>
      </c>
      <c r="DB60" s="4">
        <v>0</v>
      </c>
    </row>
    <row r="61">
      <c r="AD61" s="24">
        <f t="shared" ref="AD61:AE61" si="168">RANDBETWEEN(1,90)/1000</f>
        <v>0.018</v>
      </c>
      <c r="AE61" s="26">
        <f t="shared" si="168"/>
        <v>0.06</v>
      </c>
      <c r="AG61" s="21">
        <f t="array" ref="AG61:AH70">MMULT($Y$6:$AB$15,AD61:AE64)</f>
        <v>0.167178</v>
      </c>
      <c r="AH61" s="23">
        <v>0.134334</v>
      </c>
      <c r="CT61" s="33">
        <f>MATCH(max(CT33:DU33),CT33:DU33,0)-1</f>
        <v>1</v>
      </c>
      <c r="CV61" s="33" t="str">
        <f t="array" ref="CV61">index(A6:A33,match(CT61,B6:B33,0),1)</f>
        <v>two</v>
      </c>
      <c r="DA61" s="4" t="str">
        <v>hundred</v>
      </c>
      <c r="DB61" s="4">
        <v>27</v>
      </c>
    </row>
    <row r="62">
      <c r="AD62" s="47">
        <f t="shared" ref="AD62:AE62" si="169">RANDBETWEEN(1,90)/1000</f>
        <v>0.089</v>
      </c>
      <c r="AE62" s="49">
        <f t="shared" si="169"/>
        <v>0.063</v>
      </c>
      <c r="AG62" s="44">
        <v>0.056385</v>
      </c>
      <c r="AH62" s="46">
        <v>0.04416099999999999</v>
      </c>
      <c r="AJ62" s="5" t="s">
        <v>65</v>
      </c>
      <c r="AU62" s="5" t="s">
        <v>66</v>
      </c>
      <c r="AW62" s="5" t="s">
        <v>67</v>
      </c>
      <c r="AY62" s="5">
        <v>-100000.0</v>
      </c>
      <c r="DA62" s="4"/>
      <c r="DB62" s="4"/>
    </row>
    <row r="63">
      <c r="AD63" s="47">
        <f t="shared" ref="AD63:AE63" si="170">RANDBETWEEN(1,90)/1000</f>
        <v>0.077</v>
      </c>
      <c r="AE63" s="49">
        <f t="shared" si="170"/>
        <v>0.013</v>
      </c>
      <c r="AG63" s="44">
        <v>0.16973100000000002</v>
      </c>
      <c r="AH63" s="46">
        <v>0.14305</v>
      </c>
      <c r="AJ63" s="21">
        <f t="array" ref="AJ63:AS72">MMULT(AG61:AH70,TRANSPOSE(AG73:AH82))</f>
        <v>0.03105262072</v>
      </c>
      <c r="AK63" s="22">
        <v>0.010218716490000002</v>
      </c>
      <c r="AL63" s="22">
        <v>0.032773407228000005</v>
      </c>
      <c r="AM63" s="22">
        <v>0.031580353926</v>
      </c>
      <c r="AN63" s="22">
        <v>0.032066745618</v>
      </c>
      <c r="AO63" s="22">
        <v>0.009502410372000001</v>
      </c>
      <c r="AP63" s="22">
        <v>0.031987729482</v>
      </c>
      <c r="AQ63" s="22">
        <v>0.028027317444000006</v>
      </c>
      <c r="AR63" s="22">
        <v>0.030917654418000005</v>
      </c>
      <c r="AS63" s="23">
        <v>0.010085842212000002</v>
      </c>
      <c r="AU63" s="62">
        <v>0.0</v>
      </c>
      <c r="AV63" s="63">
        <v>-100000</v>
      </c>
      <c r="AW63" s="63">
        <v>-100000</v>
      </c>
      <c r="AX63" s="63">
        <v>-100000</v>
      </c>
      <c r="AY63" s="63">
        <v>-100000</v>
      </c>
      <c r="AZ63" s="63">
        <v>-100000</v>
      </c>
      <c r="BA63" s="63">
        <v>-100000</v>
      </c>
      <c r="BB63" s="63">
        <v>-100000</v>
      </c>
      <c r="BC63" s="63">
        <v>-100000</v>
      </c>
      <c r="BD63" s="64">
        <v>-100000</v>
      </c>
      <c r="DA63" s="4"/>
      <c r="DB63" s="4"/>
    </row>
    <row r="64">
      <c r="AD64" s="56">
        <f t="shared" ref="AD64:AE64" si="171">RANDBETWEEN(1,90)/1000</f>
        <v>0.067</v>
      </c>
      <c r="AE64" s="58">
        <f t="shared" si="171"/>
        <v>0.046</v>
      </c>
      <c r="AG64" s="44">
        <v>0.169101</v>
      </c>
      <c r="AH64" s="46">
        <v>0.133861</v>
      </c>
      <c r="AJ64" s="44">
        <v>0.010403084814</v>
      </c>
      <c r="AK64" s="45">
        <v>0.003423980379</v>
      </c>
      <c r="AL64" s="45">
        <v>0.010977715932</v>
      </c>
      <c r="AM64" s="45">
        <v>0.010576697552999998</v>
      </c>
      <c r="AN64" s="45">
        <v>0.010739960052999998</v>
      </c>
      <c r="AO64" s="45">
        <v>0.0031869535519999997</v>
      </c>
      <c r="AP64" s="45">
        <v>0.010714426588999999</v>
      </c>
      <c r="AQ64" s="45">
        <v>0.009370316012</v>
      </c>
      <c r="AR64" s="45">
        <v>0.010355076049</v>
      </c>
      <c r="AS64" s="46">
        <v>0.0033827962419999994</v>
      </c>
      <c r="AU64" s="65">
        <v>0.0</v>
      </c>
      <c r="AV64" s="4">
        <v>0.0</v>
      </c>
      <c r="AW64" s="4">
        <v>-100000</v>
      </c>
      <c r="AX64" s="4">
        <v>-100000</v>
      </c>
      <c r="AY64" s="4">
        <v>-100000</v>
      </c>
      <c r="AZ64" s="4">
        <v>-100000</v>
      </c>
      <c r="BA64" s="4">
        <v>-100000</v>
      </c>
      <c r="BB64" s="4">
        <v>-100000</v>
      </c>
      <c r="BC64" s="4">
        <v>-100000</v>
      </c>
      <c r="BD64" s="66">
        <v>-100000</v>
      </c>
    </row>
    <row r="65">
      <c r="AG65" s="44">
        <v>0.172929</v>
      </c>
      <c r="AH65" s="46">
        <v>0.136167</v>
      </c>
      <c r="AJ65" s="44">
        <v>0.03193486125000001</v>
      </c>
      <c r="AK65" s="45">
        <v>0.010505786718000001</v>
      </c>
      <c r="AL65" s="45">
        <v>0.033715335615</v>
      </c>
      <c r="AM65" s="45">
        <v>0.032496105528</v>
      </c>
      <c r="AN65" s="45">
        <v>0.032994490207</v>
      </c>
      <c r="AO65" s="45">
        <v>0.009752003483000002</v>
      </c>
      <c r="AP65" s="45">
        <v>0.03290777611700001</v>
      </c>
      <c r="AQ65" s="45">
        <v>0.028935488717000003</v>
      </c>
      <c r="AR65" s="45">
        <v>0.031812295969</v>
      </c>
      <c r="AS65" s="46">
        <v>0.010349776618000002</v>
      </c>
      <c r="AU65" s="65">
        <v>0.0</v>
      </c>
      <c r="AV65" s="4">
        <v>0.0</v>
      </c>
      <c r="AW65" s="4">
        <v>0.0</v>
      </c>
      <c r="AX65" s="4">
        <v>-100000</v>
      </c>
      <c r="AY65" s="4">
        <v>-100000</v>
      </c>
      <c r="AZ65" s="4">
        <v>-100000</v>
      </c>
      <c r="BA65" s="4">
        <v>-100000</v>
      </c>
      <c r="BB65" s="4">
        <v>-100000</v>
      </c>
      <c r="BC65" s="4">
        <v>-100000</v>
      </c>
      <c r="BD65" s="66">
        <v>-100000</v>
      </c>
    </row>
    <row r="66">
      <c r="AG66" s="44">
        <v>0.05321100000000001</v>
      </c>
      <c r="AH66" s="46">
        <v>0.043452</v>
      </c>
      <c r="AJ66" s="44">
        <v>0.031286247414000004</v>
      </c>
      <c r="AK66" s="45">
        <v>0.010296583527</v>
      </c>
      <c r="AL66" s="45">
        <v>0.033016710372</v>
      </c>
      <c r="AM66" s="45">
        <v>0.031812343460999995</v>
      </c>
      <c r="AN66" s="45">
        <v>0.032302947505</v>
      </c>
      <c r="AO66" s="45">
        <v>0.009580074440000001</v>
      </c>
      <c r="AP66" s="45">
        <v>0.032224988201000004</v>
      </c>
      <c r="AQ66" s="45">
        <v>0.028204301924000003</v>
      </c>
      <c r="AR66" s="45">
        <v>0.031145349133000003</v>
      </c>
      <c r="AS66" s="46">
        <v>0.010168572490000001</v>
      </c>
      <c r="AU66" s="65">
        <v>0.0</v>
      </c>
      <c r="AV66" s="4">
        <v>0.0</v>
      </c>
      <c r="AW66" s="4">
        <v>0.0</v>
      </c>
      <c r="AX66" s="4">
        <v>0.0</v>
      </c>
      <c r="AY66" s="4">
        <v>-100000</v>
      </c>
      <c r="AZ66" s="4">
        <v>-100000</v>
      </c>
      <c r="BA66" s="4">
        <v>-100000</v>
      </c>
      <c r="BB66" s="4">
        <v>-100000</v>
      </c>
      <c r="BC66" s="4">
        <v>-100000</v>
      </c>
      <c r="BD66" s="66">
        <v>-100000</v>
      </c>
    </row>
    <row r="67">
      <c r="AG67" s="44">
        <v>0.16576400000000002</v>
      </c>
      <c r="AH67" s="46">
        <v>0.139441</v>
      </c>
      <c r="AJ67" s="44">
        <v>0.031950143358000005</v>
      </c>
      <c r="AK67" s="45">
        <v>0.010515432765</v>
      </c>
      <c r="AL67" s="45">
        <v>0.033716148714</v>
      </c>
      <c r="AM67" s="45">
        <v>0.032485382883</v>
      </c>
      <c r="AN67" s="45">
        <v>0.032986596789</v>
      </c>
      <c r="AO67" s="45">
        <v>0.009785587806000001</v>
      </c>
      <c r="AP67" s="45">
        <v>0.032907578121</v>
      </c>
      <c r="AQ67" s="45">
        <v>0.028790592102000002</v>
      </c>
      <c r="AR67" s="45">
        <v>0.031804483869000005</v>
      </c>
      <c r="AS67" s="46">
        <v>0.010386817626</v>
      </c>
      <c r="AU67" s="65">
        <v>0.0</v>
      </c>
      <c r="AV67" s="4">
        <v>0.0</v>
      </c>
      <c r="AW67" s="4">
        <v>0.0</v>
      </c>
      <c r="AX67" s="4">
        <v>0.0</v>
      </c>
      <c r="AY67" s="4">
        <v>0.0</v>
      </c>
      <c r="AZ67" s="4">
        <v>-100000</v>
      </c>
      <c r="BA67" s="4">
        <v>-100000</v>
      </c>
      <c r="BB67" s="4">
        <v>-100000</v>
      </c>
      <c r="BC67" s="4">
        <v>-100000</v>
      </c>
      <c r="BD67" s="66">
        <v>-100000</v>
      </c>
    </row>
    <row r="68">
      <c r="AG68" s="44">
        <v>0.18298</v>
      </c>
      <c r="AH68" s="46">
        <v>0.10042599999999999</v>
      </c>
      <c r="AJ68" s="44">
        <v>0.009926267298000002</v>
      </c>
      <c r="AK68" s="45">
        <v>0.0032661710760000006</v>
      </c>
      <c r="AL68" s="45">
        <v>0.010477459089</v>
      </c>
      <c r="AM68" s="45">
        <v>0.010096893054</v>
      </c>
      <c r="AN68" s="45">
        <v>0.010252182423</v>
      </c>
      <c r="AO68" s="45">
        <v>0.003035411277</v>
      </c>
      <c r="AP68" s="45">
        <v>0.010226355585000003</v>
      </c>
      <c r="AQ68" s="45">
        <v>0.008970865971</v>
      </c>
      <c r="AR68" s="45">
        <v>0.009884816877000002</v>
      </c>
      <c r="AS68" s="46">
        <v>0.0032216778420000006</v>
      </c>
      <c r="AU68" s="65">
        <v>0.0</v>
      </c>
      <c r="AV68" s="4">
        <v>0.0</v>
      </c>
      <c r="AW68" s="4">
        <v>0.0</v>
      </c>
      <c r="AX68" s="4">
        <v>0.0</v>
      </c>
      <c r="AY68" s="4">
        <v>0.0</v>
      </c>
      <c r="AZ68" s="4">
        <v>0.0</v>
      </c>
      <c r="BA68" s="4">
        <v>-100000</v>
      </c>
      <c r="BB68" s="4">
        <v>-100000</v>
      </c>
      <c r="BC68" s="4">
        <v>-100000</v>
      </c>
      <c r="BD68" s="66">
        <v>-100000</v>
      </c>
    </row>
    <row r="69">
      <c r="AG69" s="44">
        <v>0.169512</v>
      </c>
      <c r="AH69" s="46">
        <v>0.13101100000000002</v>
      </c>
      <c r="AJ69" s="44">
        <v>0.031172209984000006</v>
      </c>
      <c r="AK69" s="45">
        <v>0.010255021211000002</v>
      </c>
      <c r="AL69" s="45">
        <v>0.032909739177000005</v>
      </c>
      <c r="AM69" s="45">
        <v>0.031719322395</v>
      </c>
      <c r="AN69" s="45">
        <v>0.032205876756</v>
      </c>
      <c r="AO69" s="45">
        <v>0.009519913209000003</v>
      </c>
      <c r="AP69" s="45">
        <v>0.032121448062000006</v>
      </c>
      <c r="AQ69" s="45">
        <v>0.028240065075000004</v>
      </c>
      <c r="AR69" s="45">
        <v>0.031051932990000003</v>
      </c>
      <c r="AS69" s="46">
        <v>0.010103498564000002</v>
      </c>
      <c r="AU69" s="65">
        <v>0.0</v>
      </c>
      <c r="AV69" s="4">
        <v>0.0</v>
      </c>
      <c r="AW69" s="4">
        <v>0.0</v>
      </c>
      <c r="AX69" s="4">
        <v>0.0</v>
      </c>
      <c r="AY69" s="4">
        <v>0.0</v>
      </c>
      <c r="AZ69" s="4">
        <v>0.0</v>
      </c>
      <c r="BA69" s="4">
        <v>0.0</v>
      </c>
      <c r="BB69" s="4">
        <v>-100000</v>
      </c>
      <c r="BC69" s="4">
        <v>-100000</v>
      </c>
      <c r="BD69" s="66">
        <v>-100000</v>
      </c>
    </row>
    <row r="70">
      <c r="AG70" s="71">
        <v>0.055868</v>
      </c>
      <c r="AH70" s="73">
        <v>0.046258</v>
      </c>
      <c r="AJ70" s="44">
        <v>0.031134400424</v>
      </c>
      <c r="AK70" s="45">
        <v>0.010268392174</v>
      </c>
      <c r="AL70" s="45">
        <v>0.032784205662</v>
      </c>
      <c r="AM70" s="45">
        <v>0.031534029558</v>
      </c>
      <c r="AN70" s="45">
        <v>0.032034471188</v>
      </c>
      <c r="AO70" s="45">
        <v>0.009669962542000001</v>
      </c>
      <c r="AP70" s="45">
        <v>0.031993380064</v>
      </c>
      <c r="AQ70" s="45">
        <v>0.027318727882000002</v>
      </c>
      <c r="AR70" s="45">
        <v>0.030885542864000002</v>
      </c>
      <c r="AS70" s="46">
        <v>0.010270558032</v>
      </c>
      <c r="AU70" s="65">
        <v>0.0</v>
      </c>
      <c r="AV70" s="4">
        <v>0.0</v>
      </c>
      <c r="AW70" s="4">
        <v>0.0</v>
      </c>
      <c r="AX70" s="4">
        <v>0.0</v>
      </c>
      <c r="AY70" s="4">
        <v>0.0</v>
      </c>
      <c r="AZ70" s="4">
        <v>0.0</v>
      </c>
      <c r="BA70" s="4">
        <v>0.0</v>
      </c>
      <c r="BB70" s="4">
        <v>0.0</v>
      </c>
      <c r="BC70" s="4">
        <v>-100000</v>
      </c>
      <c r="BD70" s="66">
        <v>-100000</v>
      </c>
    </row>
    <row r="71">
      <c r="AJ71" s="44">
        <v>0.031167881064</v>
      </c>
      <c r="AK71" s="45">
        <v>0.010259185185</v>
      </c>
      <c r="AL71" s="45">
        <v>0.032886631887</v>
      </c>
      <c r="AM71" s="45">
        <v>0.031683129128999996</v>
      </c>
      <c r="AN71" s="45">
        <v>0.032172750472</v>
      </c>
      <c r="AO71" s="45">
        <v>0.009553578863000001</v>
      </c>
      <c r="AP71" s="45">
        <v>0.032097694478000004</v>
      </c>
      <c r="AQ71" s="45">
        <v>0.028044078101</v>
      </c>
      <c r="AR71" s="45">
        <v>0.031019749822000002</v>
      </c>
      <c r="AS71" s="46">
        <v>0.010140919348</v>
      </c>
      <c r="AU71" s="65">
        <v>0.0</v>
      </c>
      <c r="AV71" s="4">
        <v>0.0</v>
      </c>
      <c r="AW71" s="4">
        <v>0.0</v>
      </c>
      <c r="AX71" s="4">
        <v>0.0</v>
      </c>
      <c r="AY71" s="4">
        <v>0.0</v>
      </c>
      <c r="AZ71" s="4">
        <v>0.0</v>
      </c>
      <c r="BA71" s="4">
        <v>0.0</v>
      </c>
      <c r="BB71" s="4">
        <v>0.0</v>
      </c>
      <c r="BC71" s="4">
        <v>0.0</v>
      </c>
      <c r="BD71" s="66">
        <v>-100000</v>
      </c>
    </row>
    <row r="72">
      <c r="AD72" s="5" t="s">
        <v>126</v>
      </c>
      <c r="AG72" s="5" t="s">
        <v>127</v>
      </c>
      <c r="AJ72" s="71">
        <v>0.010460875192</v>
      </c>
      <c r="AK72" s="72">
        <v>0.0034417707260000004</v>
      </c>
      <c r="AL72" s="72">
        <v>0.011042779566000001</v>
      </c>
      <c r="AM72" s="72">
        <v>0.010642450877999999</v>
      </c>
      <c r="AN72" s="72">
        <v>0.01080593022</v>
      </c>
      <c r="AO72" s="72">
        <v>0.0031969545900000004</v>
      </c>
      <c r="AP72" s="72">
        <v>0.010778194008000001</v>
      </c>
      <c r="AQ72" s="72">
        <v>0.009464654202</v>
      </c>
      <c r="AR72" s="72">
        <v>0.010418735784</v>
      </c>
      <c r="AS72" s="73">
        <v>0.0033930406400000004</v>
      </c>
      <c r="AU72" s="81">
        <v>0.0</v>
      </c>
      <c r="AV72" s="82">
        <v>0.0</v>
      </c>
      <c r="AW72" s="82">
        <v>0.0</v>
      </c>
      <c r="AX72" s="82">
        <v>0.0</v>
      </c>
      <c r="AY72" s="82">
        <v>0.0</v>
      </c>
      <c r="AZ72" s="82">
        <v>0.0</v>
      </c>
      <c r="BA72" s="82">
        <v>0.0</v>
      </c>
      <c r="BB72" s="82">
        <v>0.0</v>
      </c>
      <c r="BC72" s="82">
        <v>0.0</v>
      </c>
      <c r="BD72" s="83">
        <v>0.0</v>
      </c>
    </row>
    <row r="73">
      <c r="AD73" s="24">
        <f t="shared" ref="AD73:AE73" si="172">RANDBETWEEN(1,90)/1000</f>
        <v>0.056</v>
      </c>
      <c r="AE73" s="26">
        <f t="shared" si="172"/>
        <v>0.014</v>
      </c>
      <c r="AG73" s="84">
        <f t="array" ref="AG73:AH82">MMULT($Y$6:$AB$15,AD73:AE76)</f>
        <v>0.13655</v>
      </c>
      <c r="AH73" s="85">
        <v>0.06122400000000001</v>
      </c>
    </row>
    <row r="74">
      <c r="AD74" s="47">
        <f t="shared" ref="AD74:AE74" si="173">RANDBETWEEN(1,90)/1000</f>
        <v>0.066</v>
      </c>
      <c r="AE74" s="49">
        <f t="shared" si="173"/>
        <v>0.013</v>
      </c>
      <c r="AG74" s="86">
        <v>0.045328</v>
      </c>
      <c r="AH74" s="87">
        <v>0.019659000000000003</v>
      </c>
    </row>
    <row r="75">
      <c r="AD75" s="47">
        <f t="shared" ref="AD75:AE75" si="174">RANDBETWEEN(1,90)/1000</f>
        <v>0.023</v>
      </c>
      <c r="AE75" s="49">
        <f t="shared" si="174"/>
        <v>0.058</v>
      </c>
      <c r="AG75" s="86">
        <v>0.142815</v>
      </c>
      <c r="AH75" s="87">
        <v>0.066237</v>
      </c>
      <c r="AJ75" s="5" t="s">
        <v>89</v>
      </c>
      <c r="AU75" s="5" t="s">
        <v>128</v>
      </c>
    </row>
    <row r="76">
      <c r="AD76" s="56">
        <f t="shared" ref="AD76:AE76" si="175">RANDBETWEEN(1,90)/1000</f>
        <v>0.043</v>
      </c>
      <c r="AE76" s="58">
        <f t="shared" si="175"/>
        <v>0.017</v>
      </c>
      <c r="AG76" s="86">
        <v>0.13663799999999998</v>
      </c>
      <c r="AH76" s="87">
        <v>0.06504299999999999</v>
      </c>
      <c r="AJ76" s="84">
        <f t="shared" ref="AJ76:AS76" si="176">AJ63/SQRT(2)</f>
        <v>0.02195751868</v>
      </c>
      <c r="AK76" s="88">
        <f t="shared" si="176"/>
        <v>0.007225723725</v>
      </c>
      <c r="AL76" s="88">
        <f t="shared" si="176"/>
        <v>0.02317429849</v>
      </c>
      <c r="AM76" s="88">
        <f t="shared" si="176"/>
        <v>0.02233068241</v>
      </c>
      <c r="AN76" s="88">
        <f t="shared" si="176"/>
        <v>0.02267461328</v>
      </c>
      <c r="AO76" s="88">
        <f t="shared" si="176"/>
        <v>0.006719218812</v>
      </c>
      <c r="AP76" s="88">
        <f t="shared" si="176"/>
        <v>0.02261874043</v>
      </c>
      <c r="AQ76" s="88">
        <f t="shared" si="176"/>
        <v>0.01981830622</v>
      </c>
      <c r="AR76" s="88">
        <f t="shared" si="176"/>
        <v>0.0218620831</v>
      </c>
      <c r="AS76" s="85">
        <f t="shared" si="176"/>
        <v>0.007131767422</v>
      </c>
      <c r="AU76" s="21">
        <f t="shared" ref="AU76:BD76" si="177">AJ76+AU63</f>
        <v>0.02195751868</v>
      </c>
      <c r="AV76" s="22">
        <f t="shared" si="177"/>
        <v>-99999.99277</v>
      </c>
      <c r="AW76" s="22">
        <f t="shared" si="177"/>
        <v>-99999.97683</v>
      </c>
      <c r="AX76" s="22">
        <f t="shared" si="177"/>
        <v>-99999.97767</v>
      </c>
      <c r="AY76" s="22">
        <f t="shared" si="177"/>
        <v>-99999.97733</v>
      </c>
      <c r="AZ76" s="22">
        <f t="shared" si="177"/>
        <v>-99999.99328</v>
      </c>
      <c r="BA76" s="22">
        <f t="shared" si="177"/>
        <v>-99999.97738</v>
      </c>
      <c r="BB76" s="22">
        <f t="shared" si="177"/>
        <v>-99999.98018</v>
      </c>
      <c r="BC76" s="22">
        <f t="shared" si="177"/>
        <v>-99999.97814</v>
      </c>
      <c r="BD76" s="23">
        <f t="shared" si="177"/>
        <v>-99999.99287</v>
      </c>
    </row>
    <row r="77">
      <c r="AG77" s="86">
        <v>0.13899699999999998</v>
      </c>
      <c r="AH77" s="87">
        <v>0.06572800000000001</v>
      </c>
      <c r="AJ77" s="86">
        <f t="shared" ref="AJ77:AS77" si="178">AJ64/SQRT(2)</f>
        <v>0.007356091817</v>
      </c>
      <c r="AK77" s="89">
        <f t="shared" si="178"/>
        <v>0.002421119745</v>
      </c>
      <c r="AL77" s="89">
        <f t="shared" si="178"/>
        <v>0.007762417377</v>
      </c>
      <c r="AM77" s="89">
        <f t="shared" si="178"/>
        <v>0.007478854562</v>
      </c>
      <c r="AN77" s="89">
        <f t="shared" si="178"/>
        <v>0.007594298583</v>
      </c>
      <c r="AO77" s="89">
        <f t="shared" si="178"/>
        <v>0.002253516468</v>
      </c>
      <c r="AP77" s="89">
        <f t="shared" si="178"/>
        <v>0.007576243698</v>
      </c>
      <c r="AQ77" s="89">
        <f t="shared" si="178"/>
        <v>0.006625813994</v>
      </c>
      <c r="AR77" s="89">
        <f t="shared" si="178"/>
        <v>0.007322144494</v>
      </c>
      <c r="AS77" s="87">
        <f t="shared" si="178"/>
        <v>0.002391998162</v>
      </c>
      <c r="AU77" s="44">
        <f t="shared" ref="AU77:BD77" si="179">AJ77+AU64</f>
        <v>0.007356091817</v>
      </c>
      <c r="AV77" s="45">
        <f t="shared" si="179"/>
        <v>0.002421119745</v>
      </c>
      <c r="AW77" s="45">
        <f t="shared" si="179"/>
        <v>-99999.99224</v>
      </c>
      <c r="AX77" s="45">
        <f t="shared" si="179"/>
        <v>-99999.99252</v>
      </c>
      <c r="AY77" s="45">
        <f t="shared" si="179"/>
        <v>-99999.99241</v>
      </c>
      <c r="AZ77" s="45">
        <f t="shared" si="179"/>
        <v>-99999.99775</v>
      </c>
      <c r="BA77" s="45">
        <f t="shared" si="179"/>
        <v>-99999.99242</v>
      </c>
      <c r="BB77" s="45">
        <f t="shared" si="179"/>
        <v>-99999.99337</v>
      </c>
      <c r="BC77" s="45">
        <f t="shared" si="179"/>
        <v>-99999.99268</v>
      </c>
      <c r="BD77" s="46">
        <f t="shared" si="179"/>
        <v>-99999.99761</v>
      </c>
    </row>
    <row r="78">
      <c r="AG78" s="86">
        <v>0.044243000000000005</v>
      </c>
      <c r="AH78" s="87">
        <v>0.015677</v>
      </c>
      <c r="AJ78" s="86">
        <f t="shared" ref="AJ78:AS78" si="180">AJ65/SQRT(2)</f>
        <v>0.02258135695</v>
      </c>
      <c r="AK78" s="89">
        <f t="shared" si="180"/>
        <v>0.00742871303</v>
      </c>
      <c r="AL78" s="89">
        <f t="shared" si="180"/>
        <v>0.02384034244</v>
      </c>
      <c r="AM78" s="89">
        <f t="shared" si="180"/>
        <v>0.02297821658</v>
      </c>
      <c r="AN78" s="89">
        <f t="shared" si="180"/>
        <v>0.02333062777</v>
      </c>
      <c r="AO78" s="89">
        <f t="shared" si="180"/>
        <v>0.006895707793</v>
      </c>
      <c r="AP78" s="89">
        <f t="shared" si="180"/>
        <v>0.02326931165</v>
      </c>
      <c r="AQ78" s="89">
        <f t="shared" si="180"/>
        <v>0.02046048029</v>
      </c>
      <c r="AR78" s="89">
        <f t="shared" si="180"/>
        <v>0.0224946902</v>
      </c>
      <c r="AS78" s="87">
        <f t="shared" si="180"/>
        <v>0.00731839723</v>
      </c>
      <c r="AU78" s="44">
        <f t="shared" ref="AU78:BD78" si="181">AJ78+AU65</f>
        <v>0.02258135695</v>
      </c>
      <c r="AV78" s="45">
        <f t="shared" si="181"/>
        <v>0.00742871303</v>
      </c>
      <c r="AW78" s="45">
        <f t="shared" si="181"/>
        <v>0.02384034244</v>
      </c>
      <c r="AX78" s="45">
        <f t="shared" si="181"/>
        <v>-99999.97702</v>
      </c>
      <c r="AY78" s="45">
        <f t="shared" si="181"/>
        <v>-99999.97667</v>
      </c>
      <c r="AZ78" s="45">
        <f t="shared" si="181"/>
        <v>-99999.9931</v>
      </c>
      <c r="BA78" s="45">
        <f t="shared" si="181"/>
        <v>-99999.97673</v>
      </c>
      <c r="BB78" s="45">
        <f t="shared" si="181"/>
        <v>-99999.97954</v>
      </c>
      <c r="BC78" s="45">
        <f t="shared" si="181"/>
        <v>-99999.97751</v>
      </c>
      <c r="BD78" s="46">
        <f t="shared" si="181"/>
        <v>-99999.99268</v>
      </c>
    </row>
    <row r="79">
      <c r="AG79" s="86">
        <v>0.13930700000000001</v>
      </c>
      <c r="AH79" s="87">
        <v>0.064754</v>
      </c>
      <c r="AJ79" s="86">
        <f t="shared" ref="AJ79:AS79" si="182">AJ66/SQRT(2)</f>
        <v>0.0221227177</v>
      </c>
      <c r="AK79" s="89">
        <f t="shared" si="182"/>
        <v>0.007280784035</v>
      </c>
      <c r="AL79" s="89">
        <f t="shared" si="182"/>
        <v>0.0233463398</v>
      </c>
      <c r="AM79" s="89">
        <f t="shared" si="182"/>
        <v>0.02249472379</v>
      </c>
      <c r="AN79" s="89">
        <f t="shared" si="182"/>
        <v>0.02284163323</v>
      </c>
      <c r="AO79" s="89">
        <f t="shared" si="182"/>
        <v>0.006774135601</v>
      </c>
      <c r="AP79" s="89">
        <f t="shared" si="182"/>
        <v>0.02278650768</v>
      </c>
      <c r="AQ79" s="89">
        <f t="shared" si="182"/>
        <v>0.01994345315</v>
      </c>
      <c r="AR79" s="89">
        <f t="shared" si="182"/>
        <v>0.02202308757</v>
      </c>
      <c r="AS79" s="87">
        <f t="shared" si="182"/>
        <v>0.007190266563</v>
      </c>
      <c r="AU79" s="44">
        <f t="shared" ref="AU79:BD79" si="183">AJ79+AU66</f>
        <v>0.0221227177</v>
      </c>
      <c r="AV79" s="45">
        <f t="shared" si="183"/>
        <v>0.007280784035</v>
      </c>
      <c r="AW79" s="45">
        <f t="shared" si="183"/>
        <v>0.0233463398</v>
      </c>
      <c r="AX79" s="45">
        <f t="shared" si="183"/>
        <v>0.02249472379</v>
      </c>
      <c r="AY79" s="45">
        <f t="shared" si="183"/>
        <v>-99999.97716</v>
      </c>
      <c r="AZ79" s="45">
        <f t="shared" si="183"/>
        <v>-99999.99323</v>
      </c>
      <c r="BA79" s="45">
        <f t="shared" si="183"/>
        <v>-99999.97721</v>
      </c>
      <c r="BB79" s="45">
        <f t="shared" si="183"/>
        <v>-99999.98006</v>
      </c>
      <c r="BC79" s="45">
        <f t="shared" si="183"/>
        <v>-99999.97798</v>
      </c>
      <c r="BD79" s="46">
        <f t="shared" si="183"/>
        <v>-99999.99281</v>
      </c>
    </row>
    <row r="80">
      <c r="AG80" s="86">
        <v>0.10975700000000001</v>
      </c>
      <c r="AH80" s="87">
        <v>0.072047</v>
      </c>
      <c r="AJ80" s="86">
        <f t="shared" ref="AJ80:AS80" si="184">AJ67/SQRT(2)</f>
        <v>0.02259216303</v>
      </c>
      <c r="AK80" s="89">
        <f t="shared" si="184"/>
        <v>0.007435533815</v>
      </c>
      <c r="AL80" s="89">
        <f t="shared" si="184"/>
        <v>0.02384091739</v>
      </c>
      <c r="AM80" s="89">
        <f t="shared" si="184"/>
        <v>0.02297063453</v>
      </c>
      <c r="AN80" s="89">
        <f t="shared" si="184"/>
        <v>0.02332504628</v>
      </c>
      <c r="AO80" s="89">
        <f t="shared" si="184"/>
        <v>0.006919455496</v>
      </c>
      <c r="AP80" s="89">
        <f t="shared" si="184"/>
        <v>0.02326917164</v>
      </c>
      <c r="AQ80" s="89">
        <f t="shared" si="184"/>
        <v>0.02035802291</v>
      </c>
      <c r="AR80" s="89">
        <f t="shared" si="184"/>
        <v>0.02248916622</v>
      </c>
      <c r="AS80" s="87">
        <f t="shared" si="184"/>
        <v>0.007344589178</v>
      </c>
      <c r="AU80" s="44">
        <f t="shared" ref="AU80:BD80" si="185">AJ80+AU67</f>
        <v>0.02259216303</v>
      </c>
      <c r="AV80" s="45">
        <f t="shared" si="185"/>
        <v>0.007435533815</v>
      </c>
      <c r="AW80" s="45">
        <f t="shared" si="185"/>
        <v>0.02384091739</v>
      </c>
      <c r="AX80" s="45">
        <f t="shared" si="185"/>
        <v>0.02297063453</v>
      </c>
      <c r="AY80" s="45">
        <f t="shared" si="185"/>
        <v>0.02332504628</v>
      </c>
      <c r="AZ80" s="45">
        <f t="shared" si="185"/>
        <v>-99999.99308</v>
      </c>
      <c r="BA80" s="45">
        <f t="shared" si="185"/>
        <v>-99999.97673</v>
      </c>
      <c r="BB80" s="45">
        <f t="shared" si="185"/>
        <v>-99999.97964</v>
      </c>
      <c r="BC80" s="45">
        <f t="shared" si="185"/>
        <v>-99999.97751</v>
      </c>
      <c r="BD80" s="46">
        <f t="shared" si="185"/>
        <v>-99999.99266</v>
      </c>
    </row>
    <row r="81">
      <c r="AG81" s="86">
        <v>0.133999</v>
      </c>
      <c r="AH81" s="87">
        <v>0.063394</v>
      </c>
      <c r="AJ81" s="86">
        <f t="shared" ref="AJ81:AS81" si="186">AJ68/SQRT(2)</f>
        <v>0.007018930918</v>
      </c>
      <c r="AK81" s="89">
        <f t="shared" si="186"/>
        <v>0.002309531716</v>
      </c>
      <c r="AL81" s="89">
        <f t="shared" si="186"/>
        <v>0.007408682371</v>
      </c>
      <c r="AM81" s="89">
        <f t="shared" si="186"/>
        <v>0.007139581547</v>
      </c>
      <c r="AN81" s="89">
        <f t="shared" si="186"/>
        <v>0.007249387713</v>
      </c>
      <c r="AO81" s="89">
        <f t="shared" si="186"/>
        <v>0.002146359898</v>
      </c>
      <c r="AP81" s="89">
        <f t="shared" si="186"/>
        <v>0.007231125381</v>
      </c>
      <c r="AQ81" s="89">
        <f t="shared" si="186"/>
        <v>0.006343360161</v>
      </c>
      <c r="AR81" s="89">
        <f t="shared" si="186"/>
        <v>0.006989621045</v>
      </c>
      <c r="AS81" s="87">
        <f t="shared" si="186"/>
        <v>0.002278070249</v>
      </c>
      <c r="AU81" s="44">
        <f t="shared" ref="AU81:BD81" si="187">AJ81+AU68</f>
        <v>0.007018930918</v>
      </c>
      <c r="AV81" s="45">
        <f t="shared" si="187"/>
        <v>0.002309531716</v>
      </c>
      <c r="AW81" s="45">
        <f t="shared" si="187"/>
        <v>0.007408682371</v>
      </c>
      <c r="AX81" s="45">
        <f t="shared" si="187"/>
        <v>0.007139581547</v>
      </c>
      <c r="AY81" s="45">
        <f t="shared" si="187"/>
        <v>0.007249387713</v>
      </c>
      <c r="AZ81" s="45">
        <f t="shared" si="187"/>
        <v>0.002146359898</v>
      </c>
      <c r="BA81" s="45">
        <f t="shared" si="187"/>
        <v>-99999.99277</v>
      </c>
      <c r="BB81" s="45">
        <f t="shared" si="187"/>
        <v>-99999.99366</v>
      </c>
      <c r="BC81" s="45">
        <f t="shared" si="187"/>
        <v>-99999.99301</v>
      </c>
      <c r="BD81" s="46">
        <f t="shared" si="187"/>
        <v>-99999.99772</v>
      </c>
    </row>
    <row r="82">
      <c r="AG82" s="90">
        <v>0.047078</v>
      </c>
      <c r="AH82" s="91">
        <v>0.016492</v>
      </c>
      <c r="AJ82" s="86">
        <f t="shared" ref="AJ82:AS82" si="188">AJ69/SQRT(2)</f>
        <v>0.02204208106</v>
      </c>
      <c r="AK82" s="89">
        <f t="shared" si="188"/>
        <v>0.00725139504</v>
      </c>
      <c r="AL82" s="89">
        <f t="shared" si="188"/>
        <v>0.02327069974</v>
      </c>
      <c r="AM82" s="89">
        <f t="shared" si="188"/>
        <v>0.02242894796</v>
      </c>
      <c r="AN82" s="89">
        <f t="shared" si="188"/>
        <v>0.02277299385</v>
      </c>
      <c r="AO82" s="89">
        <f t="shared" si="188"/>
        <v>0.006731595186</v>
      </c>
      <c r="AP82" s="89">
        <f t="shared" si="188"/>
        <v>0.02271329375</v>
      </c>
      <c r="AQ82" s="89">
        <f t="shared" si="188"/>
        <v>0.01996874152</v>
      </c>
      <c r="AR82" s="89">
        <f t="shared" si="188"/>
        <v>0.02195703239</v>
      </c>
      <c r="AS82" s="87">
        <f t="shared" si="188"/>
        <v>0.007144252348</v>
      </c>
      <c r="AU82" s="44">
        <f t="shared" ref="AU82:BD82" si="189">AJ82+AU69</f>
        <v>0.02204208106</v>
      </c>
      <c r="AV82" s="45">
        <f t="shared" si="189"/>
        <v>0.00725139504</v>
      </c>
      <c r="AW82" s="45">
        <f t="shared" si="189"/>
        <v>0.02327069974</v>
      </c>
      <c r="AX82" s="45">
        <f t="shared" si="189"/>
        <v>0.02242894796</v>
      </c>
      <c r="AY82" s="45">
        <f t="shared" si="189"/>
        <v>0.02277299385</v>
      </c>
      <c r="AZ82" s="45">
        <f t="shared" si="189"/>
        <v>0.006731595186</v>
      </c>
      <c r="BA82" s="45">
        <f t="shared" si="189"/>
        <v>0.02271329375</v>
      </c>
      <c r="BB82" s="45">
        <f t="shared" si="189"/>
        <v>-99999.98003</v>
      </c>
      <c r="BC82" s="45">
        <f t="shared" si="189"/>
        <v>-99999.97804</v>
      </c>
      <c r="BD82" s="46">
        <f t="shared" si="189"/>
        <v>-99999.99286</v>
      </c>
    </row>
    <row r="83">
      <c r="AJ83" s="86">
        <f t="shared" ref="AJ83:AS83" si="190">AJ70/SQRT(2)</f>
        <v>0.02201534567</v>
      </c>
      <c r="AK83" s="89">
        <f t="shared" si="190"/>
        <v>0.007260849738</v>
      </c>
      <c r="AL83" s="89">
        <f t="shared" si="190"/>
        <v>0.02318193414</v>
      </c>
      <c r="AM83" s="89">
        <f t="shared" si="190"/>
        <v>0.02229792614</v>
      </c>
      <c r="AN83" s="89">
        <f t="shared" si="190"/>
        <v>0.02265179181</v>
      </c>
      <c r="AO83" s="89">
        <f t="shared" si="190"/>
        <v>0.006837696087</v>
      </c>
      <c r="AP83" s="89">
        <f t="shared" si="190"/>
        <v>0.022622736</v>
      </c>
      <c r="AQ83" s="89">
        <f t="shared" si="190"/>
        <v>0.01931725774</v>
      </c>
      <c r="AR83" s="89">
        <f t="shared" si="190"/>
        <v>0.0218393768</v>
      </c>
      <c r="AS83" s="87">
        <f t="shared" si="190"/>
        <v>0.007262381231</v>
      </c>
      <c r="AU83" s="44">
        <f t="shared" ref="AU83:BD83" si="191">AJ83+AU70</f>
        <v>0.02201534567</v>
      </c>
      <c r="AV83" s="45">
        <f t="shared" si="191"/>
        <v>0.007260849738</v>
      </c>
      <c r="AW83" s="45">
        <f t="shared" si="191"/>
        <v>0.02318193414</v>
      </c>
      <c r="AX83" s="45">
        <f t="shared" si="191"/>
        <v>0.02229792614</v>
      </c>
      <c r="AY83" s="45">
        <f t="shared" si="191"/>
        <v>0.02265179181</v>
      </c>
      <c r="AZ83" s="45">
        <f t="shared" si="191"/>
        <v>0.006837696087</v>
      </c>
      <c r="BA83" s="45">
        <f t="shared" si="191"/>
        <v>0.022622736</v>
      </c>
      <c r="BB83" s="45">
        <f t="shared" si="191"/>
        <v>0.01931725774</v>
      </c>
      <c r="BC83" s="45">
        <f t="shared" si="191"/>
        <v>-99999.97816</v>
      </c>
      <c r="BD83" s="46">
        <f t="shared" si="191"/>
        <v>-99999.99274</v>
      </c>
    </row>
    <row r="84">
      <c r="AD84" s="5" t="s">
        <v>129</v>
      </c>
      <c r="AG84" s="5" t="s">
        <v>130</v>
      </c>
      <c r="AJ84" s="86">
        <f t="shared" ref="AJ84:AS84" si="192">AJ71/SQRT(2)</f>
        <v>0.02203902006</v>
      </c>
      <c r="AK84" s="89">
        <f t="shared" si="192"/>
        <v>0.007254339414</v>
      </c>
      <c r="AL84" s="89">
        <f t="shared" si="192"/>
        <v>0.02325436042</v>
      </c>
      <c r="AM84" s="89">
        <f t="shared" si="192"/>
        <v>0.02240335546</v>
      </c>
      <c r="AN84" s="89">
        <f t="shared" si="192"/>
        <v>0.02274957003</v>
      </c>
      <c r="AO84" s="89">
        <f t="shared" si="192"/>
        <v>0.006755400399</v>
      </c>
      <c r="AP84" s="89">
        <f t="shared" si="192"/>
        <v>0.02269649743</v>
      </c>
      <c r="AQ84" s="89">
        <f t="shared" si="192"/>
        <v>0.0198301578</v>
      </c>
      <c r="AR84" s="89">
        <f t="shared" si="192"/>
        <v>0.02193427545</v>
      </c>
      <c r="AS84" s="87">
        <f t="shared" si="192"/>
        <v>0.007170712838</v>
      </c>
      <c r="AU84" s="44">
        <f t="shared" ref="AU84:BD84" si="193">AJ84+AU71</f>
        <v>0.02203902006</v>
      </c>
      <c r="AV84" s="45">
        <f t="shared" si="193"/>
        <v>0.007254339414</v>
      </c>
      <c r="AW84" s="45">
        <f t="shared" si="193"/>
        <v>0.02325436042</v>
      </c>
      <c r="AX84" s="45">
        <f t="shared" si="193"/>
        <v>0.02240335546</v>
      </c>
      <c r="AY84" s="45">
        <f t="shared" si="193"/>
        <v>0.02274957003</v>
      </c>
      <c r="AZ84" s="45">
        <f t="shared" si="193"/>
        <v>0.006755400399</v>
      </c>
      <c r="BA84" s="45">
        <f t="shared" si="193"/>
        <v>0.02269649743</v>
      </c>
      <c r="BB84" s="45">
        <f t="shared" si="193"/>
        <v>0.0198301578</v>
      </c>
      <c r="BC84" s="45">
        <f t="shared" si="193"/>
        <v>0.02193427545</v>
      </c>
      <c r="BD84" s="46">
        <f t="shared" si="193"/>
        <v>-99999.99283</v>
      </c>
    </row>
    <row r="85">
      <c r="AD85" s="103">
        <f t="shared" ref="AD85:AE85" si="194">RANDBETWEEN(1,90)/1000</f>
        <v>0.006</v>
      </c>
      <c r="AE85" s="104">
        <f t="shared" si="194"/>
        <v>0.072</v>
      </c>
      <c r="AG85" s="92">
        <f t="array" ref="AG85:AH94">MMULT($Y$6:$AB$15,AD85:AE88)</f>
        <v>0.099072</v>
      </c>
      <c r="AH85" s="23">
        <v>0.11479400000000001</v>
      </c>
      <c r="AJ85" s="90">
        <f t="shared" ref="AJ85:AS85" si="195">AJ72/SQRT(2)</f>
        <v>0.007396955785</v>
      </c>
      <c r="AK85" s="93">
        <f t="shared" si="195"/>
        <v>0.00243369942</v>
      </c>
      <c r="AL85" s="93">
        <f t="shared" si="195"/>
        <v>0.007808424314</v>
      </c>
      <c r="AM85" s="93">
        <f t="shared" si="195"/>
        <v>0.007525349184</v>
      </c>
      <c r="AN85" s="93">
        <f t="shared" si="195"/>
        <v>0.007640946536</v>
      </c>
      <c r="AO85" s="93">
        <f t="shared" si="195"/>
        <v>0.00226058827</v>
      </c>
      <c r="AP85" s="93">
        <f t="shared" si="195"/>
        <v>0.007621334072</v>
      </c>
      <c r="AQ85" s="93">
        <f t="shared" si="195"/>
        <v>0.006692521168</v>
      </c>
      <c r="AR85" s="93">
        <f t="shared" si="195"/>
        <v>0.007367158724</v>
      </c>
      <c r="AS85" s="91">
        <f t="shared" si="195"/>
        <v>0.002399242045</v>
      </c>
      <c r="AU85" s="71">
        <f t="shared" ref="AU85:BD85" si="196">AJ85+AU72</f>
        <v>0.007396955785</v>
      </c>
      <c r="AV85" s="72">
        <f t="shared" si="196"/>
        <v>0.00243369942</v>
      </c>
      <c r="AW85" s="72">
        <f t="shared" si="196"/>
        <v>0.007808424314</v>
      </c>
      <c r="AX85" s="72">
        <f t="shared" si="196"/>
        <v>0.007525349184</v>
      </c>
      <c r="AY85" s="72">
        <f t="shared" si="196"/>
        <v>0.007640946536</v>
      </c>
      <c r="AZ85" s="72">
        <f t="shared" si="196"/>
        <v>0.00226058827</v>
      </c>
      <c r="BA85" s="72">
        <f t="shared" si="196"/>
        <v>0.007621334072</v>
      </c>
      <c r="BB85" s="72">
        <f t="shared" si="196"/>
        <v>0.006692521168</v>
      </c>
      <c r="BC85" s="72">
        <f t="shared" si="196"/>
        <v>0.007367158724</v>
      </c>
      <c r="BD85" s="73">
        <f t="shared" si="196"/>
        <v>0.002399242045</v>
      </c>
    </row>
    <row r="86">
      <c r="AD86" s="105">
        <f t="shared" ref="AD86:AE86" si="197">RANDBETWEEN(1,90)/1000</f>
        <v>0.038</v>
      </c>
      <c r="AE86" s="106">
        <f t="shared" si="197"/>
        <v>0.014</v>
      </c>
      <c r="AG86" s="86">
        <v>0.032312</v>
      </c>
      <c r="AH86" s="87">
        <v>0.03398</v>
      </c>
    </row>
    <row r="87">
      <c r="AD87" s="105">
        <f t="shared" ref="AD87:AE87" si="198">RANDBETWEEN(1,90)/1000</f>
        <v>0.07</v>
      </c>
      <c r="AE87" s="106">
        <f t="shared" si="198"/>
        <v>0.023</v>
      </c>
      <c r="AG87" s="86">
        <v>0.10583300000000001</v>
      </c>
      <c r="AH87" s="87">
        <v>0.14163399999999998</v>
      </c>
      <c r="AU87" s="5" t="s">
        <v>131</v>
      </c>
    </row>
    <row r="88">
      <c r="AD88" s="107">
        <f t="shared" ref="AD88:AE88" si="199">RANDBETWEEN(1,90)/1000</f>
        <v>0.045</v>
      </c>
      <c r="AE88" s="108">
        <f t="shared" si="199"/>
        <v>0.054</v>
      </c>
      <c r="AG88" s="86">
        <v>0.102296</v>
      </c>
      <c r="AH88" s="87">
        <v>0.11693200000000001</v>
      </c>
      <c r="AU88" s="21">
        <f t="shared" ref="AU88:BD88" si="200">EXP(AU76)/SUMPRODUCT(EXP($AU76:$BD76))</f>
        <v>1</v>
      </c>
      <c r="AV88" s="22">
        <f t="shared" si="200"/>
        <v>0</v>
      </c>
      <c r="AW88" s="22">
        <f t="shared" si="200"/>
        <v>0</v>
      </c>
      <c r="AX88" s="22">
        <f t="shared" si="200"/>
        <v>0</v>
      </c>
      <c r="AY88" s="22">
        <f t="shared" si="200"/>
        <v>0</v>
      </c>
      <c r="AZ88" s="22">
        <f t="shared" si="200"/>
        <v>0</v>
      </c>
      <c r="BA88" s="22">
        <f t="shared" si="200"/>
        <v>0</v>
      </c>
      <c r="BB88" s="22">
        <f t="shared" si="200"/>
        <v>0</v>
      </c>
      <c r="BC88" s="22">
        <f t="shared" si="200"/>
        <v>0</v>
      </c>
      <c r="BD88" s="23">
        <f t="shared" si="200"/>
        <v>0</v>
      </c>
    </row>
    <row r="89">
      <c r="AG89" s="86">
        <v>0.10434000000000002</v>
      </c>
      <c r="AH89" s="87">
        <v>0.11801699999999998</v>
      </c>
      <c r="AU89" s="44">
        <f t="shared" ref="AU89:BD89" si="201">EXP(AU77)/SUMPRODUCT(EXP($AU77:$BD77))</f>
        <v>0.5012337405</v>
      </c>
      <c r="AV89" s="45">
        <f t="shared" si="201"/>
        <v>0.4987662595</v>
      </c>
      <c r="AW89" s="45">
        <f t="shared" si="201"/>
        <v>0</v>
      </c>
      <c r="AX89" s="45">
        <f t="shared" si="201"/>
        <v>0</v>
      </c>
      <c r="AY89" s="45">
        <f t="shared" si="201"/>
        <v>0</v>
      </c>
      <c r="AZ89" s="45">
        <f t="shared" si="201"/>
        <v>0</v>
      </c>
      <c r="BA89" s="45">
        <f t="shared" si="201"/>
        <v>0</v>
      </c>
      <c r="BB89" s="45">
        <f t="shared" si="201"/>
        <v>0</v>
      </c>
      <c r="BC89" s="45">
        <f t="shared" si="201"/>
        <v>0</v>
      </c>
      <c r="BD89" s="46">
        <f t="shared" si="201"/>
        <v>0</v>
      </c>
    </row>
    <row r="90">
      <c r="AG90" s="86">
        <v>0.028239</v>
      </c>
      <c r="AH90" s="87">
        <v>0.030138000000000005</v>
      </c>
      <c r="AU90" s="44">
        <f t="shared" ref="AU90:BD90" si="202">EXP(AU78)/SUMPRODUCT(EXP($AU78:$BD78))</f>
        <v>0.3348713575</v>
      </c>
      <c r="AV90" s="45">
        <f t="shared" si="202"/>
        <v>0.3298354213</v>
      </c>
      <c r="AW90" s="45">
        <f t="shared" si="202"/>
        <v>0.3352932212</v>
      </c>
      <c r="AX90" s="45">
        <f t="shared" si="202"/>
        <v>0</v>
      </c>
      <c r="AY90" s="45">
        <f t="shared" si="202"/>
        <v>0</v>
      </c>
      <c r="AZ90" s="45">
        <f t="shared" si="202"/>
        <v>0</v>
      </c>
      <c r="BA90" s="45">
        <f t="shared" si="202"/>
        <v>0</v>
      </c>
      <c r="BB90" s="45">
        <f t="shared" si="202"/>
        <v>0</v>
      </c>
      <c r="BC90" s="45">
        <f t="shared" si="202"/>
        <v>0</v>
      </c>
      <c r="BD90" s="46">
        <f t="shared" si="202"/>
        <v>0</v>
      </c>
    </row>
    <row r="91">
      <c r="AG91" s="86">
        <v>0.103327</v>
      </c>
      <c r="AH91" s="87">
        <v>0.137716</v>
      </c>
      <c r="AU91" s="44">
        <f t="shared" ref="AU91:BD91" si="203">EXP(AU79)/SUMPRODUCT(EXP($AU79:$BD79))</f>
        <v>0.250823698</v>
      </c>
      <c r="AV91" s="45">
        <f t="shared" si="203"/>
        <v>0.2471284793</v>
      </c>
      <c r="AW91" s="45">
        <f t="shared" si="203"/>
        <v>0.2511307993</v>
      </c>
      <c r="AX91" s="45">
        <f t="shared" si="203"/>
        <v>0.2509170233</v>
      </c>
      <c r="AY91" s="45">
        <f t="shared" si="203"/>
        <v>0</v>
      </c>
      <c r="AZ91" s="45">
        <f t="shared" si="203"/>
        <v>0</v>
      </c>
      <c r="BA91" s="45">
        <f t="shared" si="203"/>
        <v>0</v>
      </c>
      <c r="BB91" s="45">
        <f t="shared" si="203"/>
        <v>0</v>
      </c>
      <c r="BC91" s="45">
        <f t="shared" si="203"/>
        <v>0</v>
      </c>
      <c r="BD91" s="46">
        <f t="shared" si="203"/>
        <v>0</v>
      </c>
    </row>
    <row r="92">
      <c r="AG92" s="86">
        <v>0.11752800000000001</v>
      </c>
      <c r="AH92" s="87">
        <v>0.06931899999999999</v>
      </c>
      <c r="AU92" s="44">
        <f t="shared" ref="AU92:BD92" si="204">EXP(AU80)/SUMPRODUCT(EXP($AU80:$BD80))</f>
        <v>0.2005085344</v>
      </c>
      <c r="AV92" s="45">
        <f t="shared" si="204"/>
        <v>0.1974924157</v>
      </c>
      <c r="AW92" s="45">
        <f t="shared" si="204"/>
        <v>0.2007590767</v>
      </c>
      <c r="AX92" s="45">
        <f t="shared" si="204"/>
        <v>0.2005844355</v>
      </c>
      <c r="AY92" s="45">
        <f t="shared" si="204"/>
        <v>0.2006555376</v>
      </c>
      <c r="AZ92" s="45">
        <f t="shared" si="204"/>
        <v>0</v>
      </c>
      <c r="BA92" s="45">
        <f t="shared" si="204"/>
        <v>0</v>
      </c>
      <c r="BB92" s="45">
        <f t="shared" si="204"/>
        <v>0</v>
      </c>
      <c r="BC92" s="45">
        <f t="shared" si="204"/>
        <v>0</v>
      </c>
      <c r="BD92" s="46">
        <f t="shared" si="204"/>
        <v>0</v>
      </c>
    </row>
    <row r="93">
      <c r="AG93" s="86">
        <v>0.10208900000000001</v>
      </c>
      <c r="AH93" s="87">
        <v>0.11152000000000001</v>
      </c>
      <c r="AU93" s="44">
        <f t="shared" ref="AU93:BD93" si="205">EXP(AU81)/SUMPRODUCT(EXP($AU81:$BD81))</f>
        <v>0.1669119738</v>
      </c>
      <c r="AV93" s="45">
        <f t="shared" si="205"/>
        <v>0.1661277667</v>
      </c>
      <c r="AW93" s="45">
        <f t="shared" si="205"/>
        <v>0.1669770407</v>
      </c>
      <c r="AX93" s="45">
        <f t="shared" si="205"/>
        <v>0.1669321131</v>
      </c>
      <c r="AY93" s="45">
        <f t="shared" si="205"/>
        <v>0.1669504442</v>
      </c>
      <c r="AZ93" s="45">
        <f t="shared" si="205"/>
        <v>0.1661006615</v>
      </c>
      <c r="BA93" s="45">
        <f t="shared" si="205"/>
        <v>0</v>
      </c>
      <c r="BB93" s="45">
        <f t="shared" si="205"/>
        <v>0</v>
      </c>
      <c r="BC93" s="45">
        <f t="shared" si="205"/>
        <v>0</v>
      </c>
      <c r="BD93" s="46">
        <f t="shared" si="205"/>
        <v>0</v>
      </c>
    </row>
    <row r="94">
      <c r="AG94" s="90">
        <v>0.029434000000000002</v>
      </c>
      <c r="AH94" s="91">
        <v>0.03206</v>
      </c>
      <c r="AU94" s="44">
        <f t="shared" ref="AU94:BD94" si="206">EXP(AU82)/SUMPRODUCT(EXP($AU82:$BD82))</f>
        <v>0.1434073515</v>
      </c>
      <c r="AV94" s="45">
        <f t="shared" si="206"/>
        <v>0.1413018675</v>
      </c>
      <c r="AW94" s="45">
        <f t="shared" si="206"/>
        <v>0.1435836527</v>
      </c>
      <c r="AX94" s="45">
        <f t="shared" si="206"/>
        <v>0.1434628418</v>
      </c>
      <c r="AY94" s="45">
        <f t="shared" si="206"/>
        <v>0.143512208</v>
      </c>
      <c r="AZ94" s="45">
        <f t="shared" si="206"/>
        <v>0.1412284379</v>
      </c>
      <c r="BA94" s="45">
        <f t="shared" si="206"/>
        <v>0.1435036406</v>
      </c>
      <c r="BB94" s="45">
        <f t="shared" si="206"/>
        <v>0</v>
      </c>
      <c r="BC94" s="45">
        <f t="shared" si="206"/>
        <v>0</v>
      </c>
      <c r="BD94" s="46">
        <f t="shared" si="206"/>
        <v>0</v>
      </c>
    </row>
    <row r="95">
      <c r="AU95" s="44">
        <f t="shared" ref="AU95:BD95" si="207">EXP(AU83)/SUMPRODUCT(EXP($AU83:$BD83))</f>
        <v>0.1254659424</v>
      </c>
      <c r="AV95" s="45">
        <f t="shared" si="207"/>
        <v>0.1236283454</v>
      </c>
      <c r="AW95" s="45">
        <f t="shared" si="207"/>
        <v>0.1256123949</v>
      </c>
      <c r="AX95" s="45">
        <f t="shared" si="207"/>
        <v>0.1255014016</v>
      </c>
      <c r="AY95" s="45">
        <f t="shared" si="207"/>
        <v>0.1255458201</v>
      </c>
      <c r="AZ95" s="45">
        <f t="shared" si="207"/>
        <v>0.1235760427</v>
      </c>
      <c r="BA95" s="45">
        <f t="shared" si="207"/>
        <v>0.1255421723</v>
      </c>
      <c r="BB95" s="45">
        <f t="shared" si="207"/>
        <v>0.1251278805</v>
      </c>
      <c r="BC95" s="45">
        <f t="shared" si="207"/>
        <v>0</v>
      </c>
      <c r="BD95" s="46">
        <f t="shared" si="207"/>
        <v>0</v>
      </c>
    </row>
    <row r="96">
      <c r="AU96" s="44">
        <f t="shared" ref="AU96:BD96" si="208">EXP(AU84)/SUMPRODUCT(EXP($AU84:$BD84))</f>
        <v>0.111472847</v>
      </c>
      <c r="AV96" s="45">
        <f t="shared" si="208"/>
        <v>0.10983688</v>
      </c>
      <c r="AW96" s="45">
        <f t="shared" si="208"/>
        <v>0.1116084069</v>
      </c>
      <c r="AX96" s="45">
        <f t="shared" si="208"/>
        <v>0.1115134679</v>
      </c>
      <c r="AY96" s="45">
        <f t="shared" si="208"/>
        <v>0.1115520822</v>
      </c>
      <c r="AZ96" s="45">
        <f t="shared" si="208"/>
        <v>0.1097820918</v>
      </c>
      <c r="BA96" s="45">
        <f t="shared" si="208"/>
        <v>0.111546162</v>
      </c>
      <c r="BB96" s="45">
        <f t="shared" si="208"/>
        <v>0.1112268906</v>
      </c>
      <c r="BC96" s="45">
        <f t="shared" si="208"/>
        <v>0.1114611715</v>
      </c>
      <c r="BD96" s="46">
        <f t="shared" si="208"/>
        <v>0</v>
      </c>
    </row>
    <row r="97">
      <c r="AU97" s="71">
        <f t="shared" ref="AU97:BD97" si="209">EXP(AU85)/SUMPRODUCT(EXP($AU85:$BD85))</f>
        <v>0.100148069</v>
      </c>
      <c r="AV97" s="72">
        <f t="shared" si="209"/>
        <v>0.09965223995</v>
      </c>
      <c r="AW97" s="72">
        <f t="shared" si="209"/>
        <v>0.1001892853</v>
      </c>
      <c r="AX97" s="72">
        <f t="shared" si="209"/>
        <v>0.1001609282</v>
      </c>
      <c r="AY97" s="72">
        <f t="shared" si="209"/>
        <v>0.1001725072</v>
      </c>
      <c r="AZ97" s="72">
        <f t="shared" si="209"/>
        <v>0.09963499053</v>
      </c>
      <c r="BA97" s="72">
        <f t="shared" si="209"/>
        <v>0.1001705426</v>
      </c>
      <c r="BB97" s="72">
        <f t="shared" si="209"/>
        <v>0.1000775461</v>
      </c>
      <c r="BC97" s="72">
        <f t="shared" si="209"/>
        <v>0.1001450849</v>
      </c>
      <c r="BD97" s="73">
        <f t="shared" si="209"/>
        <v>0.09964880626</v>
      </c>
    </row>
    <row r="99">
      <c r="AU99" s="5" t="s">
        <v>132</v>
      </c>
    </row>
    <row r="100">
      <c r="AU100" s="21">
        <f t="array" ref="AU100:AV109">MMULT(AU88:BD97,AG85:AH94)</f>
        <v>0.099072</v>
      </c>
      <c r="AV100" s="23">
        <v>0.11479400000000001</v>
      </c>
    </row>
    <row r="101">
      <c r="AU101" s="44">
        <v>0.0657743645167333</v>
      </c>
      <c r="AV101" s="46">
        <v>0.07448670350592097</v>
      </c>
    </row>
    <row r="102">
      <c r="AU102" s="44">
        <v>0.07931910474261503</v>
      </c>
      <c r="AV102" s="46">
        <v>0.09713795032004768</v>
      </c>
    </row>
    <row r="103">
      <c r="AU103" s="44">
        <v>0.08508055454019717</v>
      </c>
      <c r="AV103" s="46">
        <v>0.10209937032440289</v>
      </c>
    </row>
    <row r="104">
      <c r="AU104" s="44">
        <v>0.08894847603572564</v>
      </c>
      <c r="AV104" s="46">
        <v>0.10529778385495836</v>
      </c>
    </row>
    <row r="105">
      <c r="AU105" s="44">
        <v>0.07876251797993623</v>
      </c>
      <c r="AV105" s="46">
        <v>0.0926837789683474</v>
      </c>
    </row>
    <row r="106">
      <c r="AU106" s="44">
        <v>0.08243497696257374</v>
      </c>
      <c r="AV106" s="46">
        <v>0.09933143532940972</v>
      </c>
    </row>
    <row r="107">
      <c r="AU107" s="44">
        <v>0.08682410923715865</v>
      </c>
      <c r="AV107" s="46">
        <v>0.09557352558824944</v>
      </c>
    </row>
    <row r="108">
      <c r="AU108" s="44">
        <v>0.0885285659772898</v>
      </c>
      <c r="AV108" s="46">
        <v>0.09735134180975154</v>
      </c>
    </row>
    <row r="109">
      <c r="AU109" s="71">
        <v>0.08252582953530653</v>
      </c>
      <c r="AV109" s="73">
        <v>0.0907049480181629</v>
      </c>
    </row>
  </sheetData>
  <mergeCells count="25">
    <mergeCell ref="BU1:CK1"/>
    <mergeCell ref="CM1:CR1"/>
    <mergeCell ref="CT1:DU1"/>
    <mergeCell ref="A1:B1"/>
    <mergeCell ref="D1:H1"/>
    <mergeCell ref="J1:O1"/>
    <mergeCell ref="Q1:V1"/>
    <mergeCell ref="X1:AB1"/>
    <mergeCell ref="AD1:BM1"/>
    <mergeCell ref="BO1:BS1"/>
    <mergeCell ref="BH6:BM6"/>
    <mergeCell ref="BO17:BS26"/>
    <mergeCell ref="CT35:DB35"/>
    <mergeCell ref="CT36:CU36"/>
    <mergeCell ref="CT50:DB50"/>
    <mergeCell ref="AD59:AH59"/>
    <mergeCell ref="AJ59:AS59"/>
    <mergeCell ref="AU59:BF59"/>
    <mergeCell ref="E5:H5"/>
    <mergeCell ref="L5:O5"/>
    <mergeCell ref="S5:V5"/>
    <mergeCell ref="Y5:AB5"/>
    <mergeCell ref="AD6:AH6"/>
    <mergeCell ref="AJ6:AS6"/>
    <mergeCell ref="AU6:BF6"/>
  </mergeCells>
  <drawing r:id="rId1"/>
</worksheet>
</file>